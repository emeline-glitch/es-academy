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uivi mensu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#,##0.00 €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2D5016"/>
      <sz val="16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2D5016"/>
      <sz val="11"/>
    </font>
    <font>
      <name val="Arial"/>
      <b val="1"/>
      <color rgb="002D5016"/>
      <sz val="12"/>
    </font>
    <font>
      <name val="Arial"/>
      <b val="1"/>
      <color rgb="002D5016"/>
      <sz val="14"/>
    </font>
    <font>
      <name val="Arial"/>
      <b val="1"/>
      <color rgb="00CC0000"/>
      <sz val="11"/>
    </font>
  </fonts>
  <fills count="9">
    <fill>
      <patternFill/>
    </fill>
    <fill>
      <patternFill patternType="gray125"/>
    </fill>
    <fill>
      <patternFill patternType="solid">
        <fgColor rgb="00E8F0E0"/>
      </patternFill>
    </fill>
    <fill>
      <patternFill patternType="solid">
        <fgColor rgb="002D5016"/>
      </patternFill>
    </fill>
    <fill>
      <patternFill patternType="solid">
        <fgColor rgb="00F5F9F0"/>
      </patternFill>
    </fill>
    <fill>
      <patternFill patternType="solid">
        <fgColor rgb="00FFF8E1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DDEDE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4" pivotButton="0" quotePrefix="0" xfId="0"/>
    <xf numFmtId="1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0" fontId="8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164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vertical="center" wrapText="1"/>
    </xf>
    <xf numFmtId="164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0" customHeight="1">
      <c r="A1" s="1" t="inlineStr">
        <is>
          <t>TABLEAU DE BORD PATRIMOINE IMMOBILIER</t>
        </is>
      </c>
    </row>
    <row r="2">
      <c r="A2" s="2" t="inlineStr">
        <is>
          <t>La méthode Emeline SIRON — Suivez jusqu'à 10 biens. Cases jaunes = à remplir | Cases vertes = calculs automatiques</t>
        </is>
      </c>
    </row>
    <row r="4" ht="45" customHeight="1">
      <c r="A4" s="3" t="inlineStr">
        <is>
          <t>BIEN</t>
        </is>
      </c>
      <c r="B4" s="3" t="inlineStr">
        <is>
          <t>ADRESSE</t>
        </is>
      </c>
      <c r="C4" s="3" t="inlineStr">
        <is>
          <t>TYPE DE
LOCATION</t>
        </is>
      </c>
      <c r="D4" s="3" t="inlineStr">
        <is>
          <t>DATE
D'ACHAT</t>
        </is>
      </c>
      <c r="E4" s="3" t="inlineStr">
        <is>
          <t>PRIX D'ACHAT
(FAI)</t>
        </is>
      </c>
      <c r="F4" s="3" t="inlineStr">
        <is>
          <t>VALEUR
ACTUELLE</t>
        </is>
      </c>
      <c r="G4" s="3" t="inlineStr">
        <is>
          <t>CAPITAL
EMPRUNTÉ</t>
        </is>
      </c>
      <c r="H4" s="3" t="inlineStr">
        <is>
          <t>CAPITAL
RESTANT DÛ</t>
        </is>
      </c>
      <c r="I4" s="3" t="inlineStr">
        <is>
          <t>MENSUALITÉ
CRÉDIT</t>
        </is>
      </c>
      <c r="J4" s="3" t="inlineStr">
        <is>
          <t>LOYER
MENSUEL HC</t>
        </is>
      </c>
      <c r="K4" s="3" t="inlineStr">
        <is>
          <t>CHARGES
MENSUELLES</t>
        </is>
      </c>
      <c r="L4" s="3" t="inlineStr">
        <is>
          <t>CASHFLOW
MENSUEL</t>
        </is>
      </c>
      <c r="M4" s="3" t="inlineStr">
        <is>
          <t>CASHFLOW
ANNUEL</t>
        </is>
      </c>
      <c r="N4" s="3" t="inlineStr">
        <is>
          <t>RENTABILITÉ
NETTE</t>
        </is>
      </c>
    </row>
    <row r="5" ht="30" customHeight="1">
      <c r="A5" s="4" t="inlineStr">
        <is>
          <t>Bien 1</t>
        </is>
      </c>
      <c r="B5" s="5" t="inlineStr"/>
      <c r="C5" s="6" t="inlineStr"/>
      <c r="D5" s="6" t="inlineStr"/>
      <c r="E5" s="7" t="inlineStr"/>
      <c r="F5" s="7" t="inlineStr"/>
      <c r="G5" s="7" t="inlineStr"/>
      <c r="H5" s="7" t="inlineStr"/>
      <c r="I5" s="8" t="inlineStr"/>
      <c r="J5" s="7" t="inlineStr"/>
      <c r="K5" s="7" t="inlineStr"/>
      <c r="L5" s="9">
        <f>IF(J5="","",J5-I5-K5)</f>
        <v/>
      </c>
      <c r="M5" s="10">
        <f>IF(L5="","",L5*12)</f>
        <v/>
      </c>
      <c r="N5" s="11">
        <f>IF(OR(E5="",E5=0),"",M5/E5)</f>
        <v/>
      </c>
    </row>
    <row r="6" ht="30" customHeight="1">
      <c r="A6" s="12" t="inlineStr">
        <is>
          <t>Bien 2</t>
        </is>
      </c>
      <c r="B6" s="5" t="inlineStr"/>
      <c r="C6" s="6" t="inlineStr"/>
      <c r="D6" s="6" t="inlineStr"/>
      <c r="E6" s="7" t="inlineStr"/>
      <c r="F6" s="7" t="inlineStr"/>
      <c r="G6" s="7" t="inlineStr"/>
      <c r="H6" s="7" t="inlineStr"/>
      <c r="I6" s="8" t="inlineStr"/>
      <c r="J6" s="7" t="inlineStr"/>
      <c r="K6" s="7" t="inlineStr"/>
      <c r="L6" s="9">
        <f>IF(J6="","",J6-I6-K6)</f>
        <v/>
      </c>
      <c r="M6" s="10">
        <f>IF(L6="","",L6*12)</f>
        <v/>
      </c>
      <c r="N6" s="11">
        <f>IF(OR(E6="",E6=0),"",M6/E6)</f>
        <v/>
      </c>
    </row>
    <row r="7" ht="30" customHeight="1">
      <c r="A7" s="4" t="inlineStr">
        <is>
          <t>Bien 3</t>
        </is>
      </c>
      <c r="B7" s="5" t="inlineStr"/>
      <c r="C7" s="6" t="inlineStr"/>
      <c r="D7" s="6" t="inlineStr"/>
      <c r="E7" s="7" t="inlineStr"/>
      <c r="F7" s="7" t="inlineStr"/>
      <c r="G7" s="7" t="inlineStr"/>
      <c r="H7" s="7" t="inlineStr"/>
      <c r="I7" s="8" t="inlineStr"/>
      <c r="J7" s="7" t="inlineStr"/>
      <c r="K7" s="7" t="inlineStr"/>
      <c r="L7" s="9">
        <f>IF(J7="","",J7-I7-K7)</f>
        <v/>
      </c>
      <c r="M7" s="10">
        <f>IF(L7="","",L7*12)</f>
        <v/>
      </c>
      <c r="N7" s="11">
        <f>IF(OR(E7="",E7=0),"",M7/E7)</f>
        <v/>
      </c>
    </row>
    <row r="8" ht="30" customHeight="1">
      <c r="A8" s="12" t="inlineStr">
        <is>
          <t>Bien 4</t>
        </is>
      </c>
      <c r="B8" s="5" t="inlineStr"/>
      <c r="C8" s="6" t="inlineStr"/>
      <c r="D8" s="6" t="inlineStr"/>
      <c r="E8" s="7" t="inlineStr"/>
      <c r="F8" s="7" t="inlineStr"/>
      <c r="G8" s="7" t="inlineStr"/>
      <c r="H8" s="7" t="inlineStr"/>
      <c r="I8" s="8" t="inlineStr"/>
      <c r="J8" s="7" t="inlineStr"/>
      <c r="K8" s="7" t="inlineStr"/>
      <c r="L8" s="9">
        <f>IF(J8="","",J8-I8-K8)</f>
        <v/>
      </c>
      <c r="M8" s="10">
        <f>IF(L8="","",L8*12)</f>
        <v/>
      </c>
      <c r="N8" s="11">
        <f>IF(OR(E8="",E8=0),"",M8/E8)</f>
        <v/>
      </c>
    </row>
    <row r="9" ht="30" customHeight="1">
      <c r="A9" s="4" t="inlineStr">
        <is>
          <t>Bien 5</t>
        </is>
      </c>
      <c r="B9" s="5" t="inlineStr"/>
      <c r="C9" s="6" t="inlineStr"/>
      <c r="D9" s="6" t="inlineStr"/>
      <c r="E9" s="7" t="inlineStr"/>
      <c r="F9" s="7" t="inlineStr"/>
      <c r="G9" s="7" t="inlineStr"/>
      <c r="H9" s="7" t="inlineStr"/>
      <c r="I9" s="8" t="inlineStr"/>
      <c r="J9" s="7" t="inlineStr"/>
      <c r="K9" s="7" t="inlineStr"/>
      <c r="L9" s="9">
        <f>IF(J9="","",J9-I9-K9)</f>
        <v/>
      </c>
      <c r="M9" s="10">
        <f>IF(L9="","",L9*12)</f>
        <v/>
      </c>
      <c r="N9" s="11">
        <f>IF(OR(E9="",E9=0),"",M9/E9)</f>
        <v/>
      </c>
    </row>
    <row r="10" ht="30" customHeight="1">
      <c r="A10" s="12" t="inlineStr">
        <is>
          <t>Bien 6</t>
        </is>
      </c>
      <c r="B10" s="5" t="inlineStr"/>
      <c r="C10" s="6" t="inlineStr"/>
      <c r="D10" s="6" t="inlineStr"/>
      <c r="E10" s="7" t="inlineStr"/>
      <c r="F10" s="7" t="inlineStr"/>
      <c r="G10" s="7" t="inlineStr"/>
      <c r="H10" s="7" t="inlineStr"/>
      <c r="I10" s="8" t="inlineStr"/>
      <c r="J10" s="7" t="inlineStr"/>
      <c r="K10" s="7" t="inlineStr"/>
      <c r="L10" s="9">
        <f>IF(J10="","",J10-I10-K10)</f>
        <v/>
      </c>
      <c r="M10" s="10">
        <f>IF(L10="","",L10*12)</f>
        <v/>
      </c>
      <c r="N10" s="11">
        <f>IF(OR(E10="",E10=0),"",M10/E10)</f>
        <v/>
      </c>
    </row>
    <row r="11" ht="30" customHeight="1">
      <c r="A11" s="4" t="inlineStr">
        <is>
          <t>Bien 7</t>
        </is>
      </c>
      <c r="B11" s="5" t="inlineStr"/>
      <c r="C11" s="6" t="inlineStr"/>
      <c r="D11" s="6" t="inlineStr"/>
      <c r="E11" s="7" t="inlineStr"/>
      <c r="F11" s="7" t="inlineStr"/>
      <c r="G11" s="7" t="inlineStr"/>
      <c r="H11" s="7" t="inlineStr"/>
      <c r="I11" s="8" t="inlineStr"/>
      <c r="J11" s="7" t="inlineStr"/>
      <c r="K11" s="7" t="inlineStr"/>
      <c r="L11" s="9">
        <f>IF(J11="","",J11-I11-K11)</f>
        <v/>
      </c>
      <c r="M11" s="10">
        <f>IF(L11="","",L11*12)</f>
        <v/>
      </c>
      <c r="N11" s="11">
        <f>IF(OR(E11="",E11=0),"",M11/E11)</f>
        <v/>
      </c>
    </row>
    <row r="12" ht="30" customHeight="1">
      <c r="A12" s="12" t="inlineStr">
        <is>
          <t>Bien 8</t>
        </is>
      </c>
      <c r="B12" s="5" t="inlineStr"/>
      <c r="C12" s="6" t="inlineStr"/>
      <c r="D12" s="6" t="inlineStr"/>
      <c r="E12" s="7" t="inlineStr"/>
      <c r="F12" s="7" t="inlineStr"/>
      <c r="G12" s="7" t="inlineStr"/>
      <c r="H12" s="7" t="inlineStr"/>
      <c r="I12" s="8" t="inlineStr"/>
      <c r="J12" s="7" t="inlineStr"/>
      <c r="K12" s="7" t="inlineStr"/>
      <c r="L12" s="9">
        <f>IF(J12="","",J12-I12-K12)</f>
        <v/>
      </c>
      <c r="M12" s="10">
        <f>IF(L12="","",L12*12)</f>
        <v/>
      </c>
      <c r="N12" s="11">
        <f>IF(OR(E12="",E12=0),"",M12/E12)</f>
        <v/>
      </c>
    </row>
    <row r="13" ht="30" customHeight="1">
      <c r="A13" s="4" t="inlineStr">
        <is>
          <t>Bien 9</t>
        </is>
      </c>
      <c r="B13" s="5" t="inlineStr"/>
      <c r="C13" s="6" t="inlineStr"/>
      <c r="D13" s="6" t="inlineStr"/>
      <c r="E13" s="7" t="inlineStr"/>
      <c r="F13" s="7" t="inlineStr"/>
      <c r="G13" s="7" t="inlineStr"/>
      <c r="H13" s="7" t="inlineStr"/>
      <c r="I13" s="8" t="inlineStr"/>
      <c r="J13" s="7" t="inlineStr"/>
      <c r="K13" s="7" t="inlineStr"/>
      <c r="L13" s="9">
        <f>IF(J13="","",J13-I13-K13)</f>
        <v/>
      </c>
      <c r="M13" s="10">
        <f>IF(L13="","",L13*12)</f>
        <v/>
      </c>
      <c r="N13" s="11">
        <f>IF(OR(E13="",E13=0),"",M13/E13)</f>
        <v/>
      </c>
    </row>
    <row r="14" ht="30" customHeight="1">
      <c r="A14" s="12" t="inlineStr">
        <is>
          <t>Bien 10</t>
        </is>
      </c>
      <c r="B14" s="5" t="inlineStr"/>
      <c r="C14" s="6" t="inlineStr"/>
      <c r="D14" s="6" t="inlineStr"/>
      <c r="E14" s="7" t="inlineStr"/>
      <c r="F14" s="7" t="inlineStr"/>
      <c r="G14" s="7" t="inlineStr"/>
      <c r="H14" s="7" t="inlineStr"/>
      <c r="I14" s="8" t="inlineStr"/>
      <c r="J14" s="7" t="inlineStr"/>
      <c r="K14" s="7" t="inlineStr"/>
      <c r="L14" s="9">
        <f>IF(J14="","",J14-I14-K14)</f>
        <v/>
      </c>
      <c r="M14" s="10">
        <f>IF(L14="","",L14*12)</f>
        <v/>
      </c>
      <c r="N14" s="11">
        <f>IF(OR(E14="",E14=0),"",M14/E14)</f>
        <v/>
      </c>
    </row>
    <row r="15" ht="35" customHeight="1">
      <c r="A15" s="13" t="inlineStr">
        <is>
          <t>TOTAUX / MOYENNES</t>
        </is>
      </c>
      <c r="B15" s="14" t="n"/>
      <c r="C15" s="14" t="n"/>
      <c r="D15" s="14" t="n"/>
      <c r="E15" s="15">
        <f>SUM(E5:E14)</f>
        <v/>
      </c>
      <c r="F15" s="15">
        <f>SUM(F5:F14)</f>
        <v/>
      </c>
      <c r="G15" s="15">
        <f>SUM(G5:G14)</f>
        <v/>
      </c>
      <c r="H15" s="15">
        <f>SUM(H5:H14)</f>
        <v/>
      </c>
      <c r="I15" s="16">
        <f>SUM(I5:I14)</f>
        <v/>
      </c>
      <c r="J15" s="15">
        <f>SUM(J5:J14)</f>
        <v/>
      </c>
      <c r="K15" s="15">
        <f>SUM(K5:K14)</f>
        <v/>
      </c>
      <c r="L15" s="17">
        <f>SUM(L5:L14)</f>
        <v/>
      </c>
      <c r="M15" s="18">
        <f>SUM(M5:M14)</f>
        <v/>
      </c>
      <c r="N15" s="19">
        <f>IF(E15=0,"",M15/E15)</f>
        <v/>
      </c>
    </row>
    <row r="17">
      <c r="A17" s="20" t="inlineStr">
        <is>
          <t>INDICATEURS PATRIMONIAUX</t>
        </is>
      </c>
      <c r="B17" s="21" t="n"/>
      <c r="C17" s="21" t="n"/>
      <c r="D17" s="21" t="n"/>
      <c r="E17" s="21" t="n"/>
      <c r="F17" s="21" t="n"/>
      <c r="G17" s="21" t="n"/>
    </row>
    <row r="18" ht="28" customHeight="1">
      <c r="A18" s="22" t="inlineStr">
        <is>
          <t>Nombre de biens</t>
        </is>
      </c>
      <c r="B18" s="23" t="n"/>
      <c r="C18" s="24">
        <f>COUNTA(B5:B14)</f>
        <v/>
      </c>
    </row>
    <row r="19" ht="28" customHeight="1">
      <c r="A19" s="22" t="inlineStr">
        <is>
          <t>Valeur totale du patrimoine</t>
        </is>
      </c>
      <c r="B19" s="23" t="n"/>
      <c r="C19" s="25">
        <f>F15</f>
        <v/>
      </c>
    </row>
    <row r="20" ht="28" customHeight="1">
      <c r="A20" s="22" t="inlineStr">
        <is>
          <t>Endettement restant total</t>
        </is>
      </c>
      <c r="B20" s="23" t="n"/>
      <c r="C20" s="25">
        <f>H15</f>
        <v/>
      </c>
    </row>
    <row r="21" ht="28" customHeight="1">
      <c r="A21" s="22" t="inlineStr">
        <is>
          <t>Ratio d'endettement</t>
        </is>
      </c>
      <c r="B21" s="23" t="n"/>
      <c r="C21" s="26">
        <f>IF(F15=0,"",H15/F15)</f>
        <v/>
      </c>
    </row>
    <row r="22" ht="28" customHeight="1">
      <c r="A22" s="22" t="inlineStr">
        <is>
          <t>Valeur nette (patrimoine - dette)</t>
        </is>
      </c>
      <c r="B22" s="23" t="n"/>
      <c r="C22" s="25">
        <f>F15-H15</f>
        <v/>
      </c>
    </row>
    <row r="23" ht="28" customHeight="1">
      <c r="A23" s="22" t="inlineStr">
        <is>
          <t>Cashflow mensuel global</t>
        </is>
      </c>
      <c r="B23" s="23" t="n"/>
      <c r="C23" s="25">
        <f>L15</f>
        <v/>
      </c>
    </row>
    <row r="24" ht="28" customHeight="1">
      <c r="A24" s="22" t="inlineStr">
        <is>
          <t>Cashflow annuel global</t>
        </is>
      </c>
      <c r="B24" s="23" t="n"/>
      <c r="C24" s="25">
        <f>M15</f>
        <v/>
      </c>
    </row>
    <row r="25" ht="28" customHeight="1">
      <c r="A25" s="22" t="inlineStr">
        <is>
          <t>Loyer annuel total</t>
        </is>
      </c>
      <c r="B25" s="23" t="n"/>
      <c r="C25" s="25">
        <f>J15*12</f>
        <v/>
      </c>
    </row>
    <row r="26" ht="28" customHeight="1">
      <c r="A26" s="22" t="inlineStr">
        <is>
          <t>Rentabilité nette moyenne</t>
        </is>
      </c>
      <c r="B26" s="23" t="n"/>
      <c r="C26" s="27">
        <f>N15</f>
        <v/>
      </c>
    </row>
    <row r="27" ht="28" customHeight="1">
      <c r="A27" s="22" t="inlineStr">
        <is>
          <t>Plus-value latente totale</t>
        </is>
      </c>
      <c r="B27" s="23" t="n"/>
      <c r="C27" s="25">
        <f>F15-E15</f>
        <v/>
      </c>
    </row>
  </sheetData>
  <mergeCells count="14">
    <mergeCell ref="A20:B20"/>
    <mergeCell ref="A21:B21"/>
    <mergeCell ref="A24:B24"/>
    <mergeCell ref="A26:B26"/>
    <mergeCell ref="A17:G17"/>
    <mergeCell ref="A25:B25"/>
    <mergeCell ref="A19:B19"/>
    <mergeCell ref="A2:N2"/>
    <mergeCell ref="A15:D15"/>
    <mergeCell ref="A23:B23"/>
    <mergeCell ref="A18:B18"/>
    <mergeCell ref="A27:B27"/>
    <mergeCell ref="A22:B2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5" customHeight="1">
      <c r="A1" s="28" t="inlineStr">
        <is>
          <t>SUIVI MENSUEL DES REVENUS ET CHARGES</t>
        </is>
      </c>
    </row>
    <row r="3">
      <c r="A3" s="29" t="inlineStr">
        <is>
          <t>MOIS</t>
        </is>
      </c>
      <c r="B3" s="29" t="inlineStr">
        <is>
          <t>Jan</t>
        </is>
      </c>
      <c r="C3" s="29" t="inlineStr">
        <is>
          <t>Fév</t>
        </is>
      </c>
      <c r="D3" s="29" t="inlineStr">
        <is>
          <t>Mar</t>
        </is>
      </c>
      <c r="E3" s="29" t="inlineStr">
        <is>
          <t>Avr</t>
        </is>
      </c>
      <c r="F3" s="29" t="inlineStr">
        <is>
          <t>Mai</t>
        </is>
      </c>
      <c r="G3" s="29" t="inlineStr">
        <is>
          <t>Juin</t>
        </is>
      </c>
      <c r="H3" s="29" t="inlineStr">
        <is>
          <t>Juil</t>
        </is>
      </c>
      <c r="I3" s="29" t="inlineStr">
        <is>
          <t>Août</t>
        </is>
      </c>
      <c r="J3" s="29" t="inlineStr">
        <is>
          <t>Sep</t>
        </is>
      </c>
      <c r="K3" s="29" t="inlineStr">
        <is>
          <t>Oct</t>
        </is>
      </c>
      <c r="L3" s="29" t="inlineStr">
        <is>
          <t>Nov</t>
        </is>
      </c>
      <c r="M3" s="29" t="inlineStr">
        <is>
          <t>Déc</t>
        </is>
      </c>
      <c r="N3" s="29" t="inlineStr">
        <is>
          <t>TOTAL</t>
        </is>
      </c>
    </row>
    <row r="4">
      <c r="A4" s="30" t="inlineStr">
        <is>
          <t>REVENUS LOCATIFS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</row>
    <row r="5">
      <c r="A5" s="22" t="inlineStr">
        <is>
          <t>Bien 1 - Loyer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>
        <f>SUM(B5:M5)</f>
        <v/>
      </c>
    </row>
    <row r="6">
      <c r="A6" s="22" t="inlineStr">
        <is>
          <t>Bien 2 - Loyer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>
        <f>SUM(B6:M6)</f>
        <v/>
      </c>
    </row>
    <row r="7">
      <c r="A7" s="22" t="inlineStr">
        <is>
          <t>Bien 3 - Loyer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>
        <f>SUM(B7:M7)</f>
        <v/>
      </c>
    </row>
    <row r="8">
      <c r="A8" s="22" t="inlineStr">
        <is>
          <t>Bien 4 - Loyer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>
        <f>SUM(B8:M8)</f>
        <v/>
      </c>
    </row>
    <row r="9">
      <c r="A9" s="22" t="inlineStr">
        <is>
          <t>Bien 5 - Loyer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10">
        <f>SUM(B9:M9)</f>
        <v/>
      </c>
    </row>
    <row r="10">
      <c r="A10" s="31" t="inlineStr">
        <is>
          <t>TOTAL REVENUS</t>
        </is>
      </c>
      <c r="B10" s="32">
        <f>SUM(B5:B9)</f>
        <v/>
      </c>
      <c r="C10" s="32">
        <f>SUM(C5:C9)</f>
        <v/>
      </c>
      <c r="D10" s="32">
        <f>SUM(D5:D9)</f>
        <v/>
      </c>
      <c r="E10" s="32">
        <f>SUM(E5:E9)</f>
        <v/>
      </c>
      <c r="F10" s="32">
        <f>SUM(F5:F9)</f>
        <v/>
      </c>
      <c r="G10" s="32">
        <f>SUM(G5:G9)</f>
        <v/>
      </c>
      <c r="H10" s="32">
        <f>SUM(H5:H9)</f>
        <v/>
      </c>
      <c r="I10" s="32">
        <f>SUM(I5:I9)</f>
        <v/>
      </c>
      <c r="J10" s="32">
        <f>SUM(J5:J9)</f>
        <v/>
      </c>
      <c r="K10" s="32">
        <f>SUM(K5:K9)</f>
        <v/>
      </c>
      <c r="L10" s="32">
        <f>SUM(L5:L9)</f>
        <v/>
      </c>
      <c r="M10" s="32">
        <f>SUM(M5:M9)</f>
        <v/>
      </c>
      <c r="N10" s="32">
        <f>SUM(N5:N9)</f>
        <v/>
      </c>
    </row>
    <row r="11">
      <c r="A11" s="22" t="inlineStr"/>
    </row>
    <row r="12">
      <c r="A12" s="30" t="inlineStr">
        <is>
          <t>CHARGES &amp; CRÉDITS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</row>
    <row r="13">
      <c r="A13" s="22" t="inlineStr">
        <is>
          <t>Mensualités crédit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10">
        <f>SUM(B13:M13)</f>
        <v/>
      </c>
    </row>
    <row r="14">
      <c r="A14" s="22" t="inlineStr">
        <is>
          <t>Assurances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10">
        <f>SUM(B14:M14)</f>
        <v/>
      </c>
    </row>
    <row r="15">
      <c r="A15" s="22" t="inlineStr">
        <is>
          <t>Taxe foncière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10">
        <f>SUM(B15:M15)</f>
        <v/>
      </c>
    </row>
    <row r="16">
      <c r="A16" s="22" t="inlineStr">
        <is>
          <t>Copropriété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10">
        <f>SUM(B16:M16)</f>
        <v/>
      </c>
    </row>
    <row r="17">
      <c r="A17" s="22" t="inlineStr">
        <is>
          <t>Travaux / entretien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10">
        <f>SUM(B17:M17)</f>
        <v/>
      </c>
    </row>
    <row r="18">
      <c r="A18" s="22" t="inlineStr">
        <is>
          <t>Gestion locative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10">
        <f>SUM(B18:M18)</f>
        <v/>
      </c>
    </row>
    <row r="19">
      <c r="A19" s="22" t="inlineStr">
        <is>
          <t>Comptable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10">
        <f>SUM(B19:M19)</f>
        <v/>
      </c>
    </row>
    <row r="20">
      <c r="A20" s="22" t="inlineStr">
        <is>
          <t>Autres charges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10">
        <f>SUM(B20:M20)</f>
        <v/>
      </c>
    </row>
    <row r="21">
      <c r="A21" s="33" t="inlineStr">
        <is>
          <t>TOTAL CHARGES</t>
        </is>
      </c>
      <c r="B21" s="34">
        <f>SUM(B13:B20)</f>
        <v/>
      </c>
      <c r="C21" s="34">
        <f>SUM(C13:C20)</f>
        <v/>
      </c>
      <c r="D21" s="34">
        <f>SUM(D13:D20)</f>
        <v/>
      </c>
      <c r="E21" s="34">
        <f>SUM(E13:E20)</f>
        <v/>
      </c>
      <c r="F21" s="34">
        <f>SUM(F13:F20)</f>
        <v/>
      </c>
      <c r="G21" s="34">
        <f>SUM(G13:G20)</f>
        <v/>
      </c>
      <c r="H21" s="34">
        <f>SUM(H13:H20)</f>
        <v/>
      </c>
      <c r="I21" s="34">
        <f>SUM(I13:I20)</f>
        <v/>
      </c>
      <c r="J21" s="34">
        <f>SUM(J13:J20)</f>
        <v/>
      </c>
      <c r="K21" s="34">
        <f>SUM(K13:K20)</f>
        <v/>
      </c>
      <c r="L21" s="34">
        <f>SUM(L13:L20)</f>
        <v/>
      </c>
      <c r="M21" s="34">
        <f>SUM(M13:M20)</f>
        <v/>
      </c>
      <c r="N21" s="34">
        <f>SUM(N13:N20)</f>
        <v/>
      </c>
    </row>
    <row r="22">
      <c r="A22" s="22" t="inlineStr"/>
    </row>
    <row r="23">
      <c r="A23" s="31" t="inlineStr">
        <is>
          <t>CASHFLOW NET MENSUEL</t>
        </is>
      </c>
      <c r="B23" s="25">
        <f>B10-B21</f>
        <v/>
      </c>
      <c r="C23" s="25">
        <f>C10-C21</f>
        <v/>
      </c>
      <c r="D23" s="25">
        <f>D10-D21</f>
        <v/>
      </c>
      <c r="E23" s="25">
        <f>E10-E21</f>
        <v/>
      </c>
      <c r="F23" s="25">
        <f>F10-F21</f>
        <v/>
      </c>
      <c r="G23" s="25">
        <f>G10-G21</f>
        <v/>
      </c>
      <c r="H23" s="25">
        <f>H10-H21</f>
        <v/>
      </c>
      <c r="I23" s="25">
        <f>I10-I21</f>
        <v/>
      </c>
      <c r="J23" s="25">
        <f>J10-J21</f>
        <v/>
      </c>
      <c r="K23" s="25">
        <f>K10-K21</f>
        <v/>
      </c>
      <c r="L23" s="25">
        <f>L10-L21</f>
        <v/>
      </c>
      <c r="M23" s="25">
        <f>M10-M21</f>
        <v/>
      </c>
      <c r="N23" s="25">
        <f>N10-N21</f>
        <v/>
      </c>
    </row>
    <row r="24">
      <c r="A24" s="31" t="inlineStr">
        <is>
          <t>CASHFLOW CUMULÉ</t>
        </is>
      </c>
      <c r="B24" s="10">
        <f>B23</f>
        <v/>
      </c>
      <c r="C24" s="10">
        <f>B24+C23</f>
        <v/>
      </c>
      <c r="D24" s="10">
        <f>C24+D23</f>
        <v/>
      </c>
      <c r="E24" s="10">
        <f>D24+E23</f>
        <v/>
      </c>
      <c r="F24" s="10">
        <f>E24+F23</f>
        <v/>
      </c>
      <c r="G24" s="10">
        <f>F24+G23</f>
        <v/>
      </c>
      <c r="H24" s="10">
        <f>G24+H23</f>
        <v/>
      </c>
      <c r="I24" s="10">
        <f>H24+I23</f>
        <v/>
      </c>
      <c r="J24" s="10">
        <f>I24+J23</f>
        <v/>
      </c>
      <c r="K24" s="10">
        <f>J24+K23</f>
        <v/>
      </c>
      <c r="L24" s="10">
        <f>K24+L23</f>
        <v/>
      </c>
      <c r="M24" s="10">
        <f>L24+M23</f>
        <v/>
      </c>
      <c r="N24" s="10">
        <f>N23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2026-04-11T15:17:48Z</dcterms:created>
  <dcterms:modified xmlns:dcterms="http://purl.org/dc/terms/" xmlns:xsi="http://www.w3.org/2001/XMLSchema-instance" xsi:type="dcterms:W3CDTF">2026-04-11T15:17:48Z</dcterms:modified>
</cp:coreProperties>
</file>