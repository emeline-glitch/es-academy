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ur Cash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#,##0.00 €"/>
  </numFmts>
  <fonts count="11">
    <font>
      <name val="Calibri"/>
      <family val="2"/>
      <color theme="1"/>
      <sz val="11"/>
      <scheme val="minor"/>
    </font>
    <font>
      <name val="Arial"/>
      <b val="1"/>
      <color rgb="002D5016"/>
      <sz val="16"/>
    </font>
    <font>
      <name val="Arial"/>
      <i val="1"/>
      <color rgb="00888888"/>
      <sz val="9"/>
    </font>
    <font>
      <name val="Arial"/>
      <b val="1"/>
      <color rgb="002D5016"/>
      <sz val="11"/>
    </font>
    <font>
      <name val="Arial"/>
      <b val="1"/>
      <sz val="10"/>
    </font>
    <font>
      <name val="Arial"/>
      <sz val="10"/>
    </font>
    <font>
      <name val="Arial"/>
      <b val="1"/>
      <color rgb="002D5016"/>
      <sz val="12"/>
    </font>
    <font>
      <name val="Arial"/>
      <b val="1"/>
      <color rgb="00CC0000"/>
      <sz val="11"/>
    </font>
    <font>
      <name val="Arial"/>
      <b val="1"/>
      <color rgb="00CC0000"/>
      <sz val="12"/>
    </font>
    <font>
      <name val="Arial"/>
      <b val="1"/>
      <color rgb="00FFFFFF"/>
      <sz val="11"/>
    </font>
    <font>
      <name val="Arial"/>
      <b val="1"/>
      <color rgb="002D5016"/>
      <sz val="14"/>
    </font>
  </fonts>
  <fills count="7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FFF8E1"/>
      </patternFill>
    </fill>
    <fill>
      <patternFill patternType="solid">
        <fgColor rgb="00D4EDDA"/>
      </patternFill>
    </fill>
    <fill>
      <patternFill patternType="solid">
        <fgColor rgb="00FDDEDE"/>
      </patternFill>
    </fill>
    <fill>
      <patternFill patternType="solid">
        <fgColor rgb="002D501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wrapText="1"/>
    </xf>
    <xf numFmtId="164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5" fontId="10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30" customWidth="1" min="5" max="5"/>
    <col width="10" customWidth="1" min="6" max="6"/>
  </cols>
  <sheetData>
    <row r="1" ht="40" customHeight="1">
      <c r="A1" s="1" t="inlineStr">
        <is>
          <t>CALCULATEUR DE CASHFLOW IMMOBILIER</t>
        </is>
      </c>
    </row>
    <row r="2">
      <c r="A2" s="2" t="inlineStr">
        <is>
          <t>La méthode Emeline SIRON — Cases jaunes = à remplir | Cases vertes = résultats automatiques</t>
        </is>
      </c>
    </row>
    <row r="4">
      <c r="A4" s="3" t="inlineStr">
        <is>
          <t>1. DONNÉES D'ACHAT</t>
        </is>
      </c>
      <c r="B4" s="4" t="n"/>
      <c r="C4" s="4" t="n"/>
      <c r="D4" s="4" t="n"/>
      <c r="E4" s="4" t="n"/>
      <c r="F4" s="4" t="n"/>
    </row>
    <row r="5">
      <c r="A5" s="5" t="inlineStr">
        <is>
          <t>Prix d'achat (FAI)</t>
        </is>
      </c>
      <c r="B5" s="6" t="n">
        <v>180000</v>
      </c>
      <c r="C5" s="7" t="inlineStr">
        <is>
          <t>€</t>
        </is>
      </c>
    </row>
    <row r="6">
      <c r="A6" s="5" t="inlineStr">
        <is>
          <t>Frais de notaire (%)</t>
        </is>
      </c>
      <c r="B6" s="8" t="n">
        <v>0.08</v>
      </c>
      <c r="C6" s="7" t="inlineStr"/>
    </row>
    <row r="7">
      <c r="A7" s="5" t="inlineStr">
        <is>
          <t>Budget travaux</t>
        </is>
      </c>
      <c r="B7" s="6" t="n">
        <v>20000</v>
      </c>
      <c r="C7" s="7" t="inlineStr">
        <is>
          <t>€</t>
        </is>
      </c>
    </row>
    <row r="8">
      <c r="A8" s="5" t="inlineStr">
        <is>
          <t>Budget meubles</t>
        </is>
      </c>
      <c r="B8" s="6" t="n">
        <v>5000</v>
      </c>
      <c r="C8" s="7" t="inlineStr">
        <is>
          <t>€</t>
        </is>
      </c>
    </row>
    <row r="9">
      <c r="A9" s="5" t="inlineStr">
        <is>
          <t>Apport personnel</t>
        </is>
      </c>
      <c r="B9" s="6" t="n">
        <v>15000</v>
      </c>
      <c r="C9" s="7" t="inlineStr">
        <is>
          <t>€</t>
        </is>
      </c>
    </row>
    <row r="10">
      <c r="A10" s="5" t="inlineStr">
        <is>
          <t>Frais de notaire (€)</t>
        </is>
      </c>
      <c r="B10" s="9">
        <f>B5*B6</f>
        <v/>
      </c>
    </row>
    <row r="11">
      <c r="A11" s="10" t="inlineStr">
        <is>
          <t>COÛT TOTAL DU PROJET</t>
        </is>
      </c>
      <c r="B11" s="11">
        <f>B5+B10+B7+B8</f>
        <v/>
      </c>
    </row>
    <row r="12">
      <c r="A12" s="5" t="inlineStr">
        <is>
          <t>Montant à emprunter</t>
        </is>
      </c>
      <c r="B12" s="9">
        <f>B11-B9</f>
        <v/>
      </c>
    </row>
    <row r="14">
      <c r="A14" s="3" t="inlineStr">
        <is>
          <t>2. PARAMÈTRES DU CRÉDIT</t>
        </is>
      </c>
      <c r="B14" s="4" t="n"/>
      <c r="C14" s="4" t="n"/>
      <c r="D14" s="4" t="n"/>
      <c r="E14" s="4" t="n"/>
      <c r="F14" s="4" t="n"/>
    </row>
    <row r="15">
      <c r="A15" s="5" t="inlineStr">
        <is>
          <t>Durée du prêt (années)</t>
        </is>
      </c>
      <c r="B15" s="12" t="n">
        <v>20</v>
      </c>
    </row>
    <row r="16">
      <c r="A16" s="5" t="inlineStr">
        <is>
          <t>Taux d'intérêt annuel</t>
        </is>
      </c>
      <c r="B16" s="13" t="n">
        <v>0.035</v>
      </c>
    </row>
    <row r="17">
      <c r="A17" s="5" t="inlineStr">
        <is>
          <t>Taux assurance emprunteur</t>
        </is>
      </c>
      <c r="B17" s="13" t="n">
        <v>0.003</v>
      </c>
    </row>
    <row r="18">
      <c r="A18" s="5" t="inlineStr">
        <is>
          <t>Mensualité crédit (hors assurance)</t>
        </is>
      </c>
      <c r="B18" s="14">
        <f>IF(B16=0,B12/B15/12,-PMT(B16/12,B15*12,B12))</f>
        <v/>
      </c>
    </row>
    <row r="19">
      <c r="A19" s="5" t="inlineStr">
        <is>
          <t>Mensualité assurance</t>
        </is>
      </c>
      <c r="B19" s="14">
        <f>B12*B17/12</f>
        <v/>
      </c>
    </row>
    <row r="20">
      <c r="A20" s="10" t="inlineStr">
        <is>
          <t>MENSUALITÉ TOTALE</t>
        </is>
      </c>
      <c r="B20" s="15">
        <f>B18+B19</f>
        <v/>
      </c>
    </row>
    <row r="21">
      <c r="A21" s="5" t="inlineStr">
        <is>
          <t>Coût total du crédit</t>
        </is>
      </c>
      <c r="B21" s="9">
        <f>B20*B15*12-B12</f>
        <v/>
      </c>
    </row>
    <row r="23">
      <c r="A23" s="3" t="inlineStr">
        <is>
          <t>3. REVENUS LOCATIFS</t>
        </is>
      </c>
      <c r="B23" s="4" t="n"/>
      <c r="C23" s="4" t="n"/>
      <c r="D23" s="4" t="n"/>
      <c r="E23" s="4" t="n"/>
      <c r="F23" s="4" t="n"/>
    </row>
    <row r="24">
      <c r="A24" s="5" t="inlineStr">
        <is>
          <t>Loyer mensuel HC</t>
        </is>
      </c>
      <c r="B24" s="6" t="n">
        <v>750</v>
      </c>
    </row>
    <row r="25">
      <c r="A25" s="5" t="inlineStr">
        <is>
          <t>Charges récupérables / mois</t>
        </is>
      </c>
      <c r="B25" s="6" t="n">
        <v>80</v>
      </c>
    </row>
    <row r="26">
      <c r="A26" s="5" t="inlineStr">
        <is>
          <t>Taux de vacance locative (%)</t>
        </is>
      </c>
      <c r="B26" s="8" t="n">
        <v>0.05</v>
      </c>
    </row>
    <row r="27">
      <c r="A27" s="10" t="inlineStr">
        <is>
          <t>LOYER ANNUEL EFFECTIF</t>
        </is>
      </c>
      <c r="B27" s="11">
        <f>B24*12*(1-B26)</f>
        <v/>
      </c>
    </row>
    <row r="29">
      <c r="A29" s="3" t="inlineStr">
        <is>
          <t>4. CHARGES ANNUELLES</t>
        </is>
      </c>
      <c r="B29" s="4" t="n"/>
      <c r="C29" s="4" t="n"/>
      <c r="D29" s="4" t="n"/>
      <c r="E29" s="4" t="n"/>
      <c r="F29" s="4" t="n"/>
    </row>
    <row r="30">
      <c r="A30" s="5" t="inlineStr">
        <is>
          <t>Taxe foncière</t>
        </is>
      </c>
      <c r="B30" s="6" t="n">
        <v>1200</v>
      </c>
    </row>
    <row r="31">
      <c r="A31" s="5" t="inlineStr">
        <is>
          <t>Charges de copropriété (non récup.)</t>
        </is>
      </c>
      <c r="B31" s="6" t="n">
        <v>600</v>
      </c>
    </row>
    <row r="32">
      <c r="A32" s="5" t="inlineStr">
        <is>
          <t>Assurance PNO</t>
        </is>
      </c>
      <c r="B32" s="6" t="n">
        <v>180</v>
      </c>
    </row>
    <row r="33">
      <c r="A33" s="5" t="inlineStr">
        <is>
          <t>Assurance loyers impayés (GLI)</t>
        </is>
      </c>
      <c r="B33" s="6" t="n">
        <v>300</v>
      </c>
    </row>
    <row r="34">
      <c r="A34" s="5" t="inlineStr">
        <is>
          <t>Frais de gestion locative</t>
        </is>
      </c>
      <c r="B34" s="6" t="n">
        <v>0</v>
      </c>
    </row>
    <row r="35">
      <c r="A35" s="5" t="inlineStr">
        <is>
          <t>Provision entretien / réparations</t>
        </is>
      </c>
      <c r="B35" s="6" t="n">
        <v>500</v>
      </c>
    </row>
    <row r="36">
      <c r="A36" s="5" t="inlineStr">
        <is>
          <t>Expert-comptable (si LMNP)</t>
        </is>
      </c>
      <c r="B36" s="6" t="n">
        <v>500</v>
      </c>
    </row>
    <row r="37">
      <c r="A37" s="5" t="inlineStr">
        <is>
          <t>CFE (si LMNP)</t>
        </is>
      </c>
      <c r="B37" s="6" t="n">
        <v>200</v>
      </c>
    </row>
    <row r="38">
      <c r="A38" s="16" t="inlineStr">
        <is>
          <t>TOTAL CHARGES ANNUELLES</t>
        </is>
      </c>
      <c r="B38" s="17">
        <f>SUM(B30:B37)</f>
        <v/>
      </c>
    </row>
    <row r="40">
      <c r="A40" s="3" t="inlineStr">
        <is>
          <t>5. RÉSULTATS — RENTABILITÉ &amp; CASHFLOW</t>
        </is>
      </c>
      <c r="B40" s="4" t="n"/>
      <c r="C40" s="4" t="n"/>
      <c r="D40" s="4" t="n"/>
      <c r="E40" s="4" t="n"/>
      <c r="F40" s="4" t="n"/>
    </row>
    <row r="41">
      <c r="A41" s="18" t="inlineStr"/>
      <c r="B41" s="19" t="inlineStr">
        <is>
          <t>PESSIMISTE</t>
        </is>
      </c>
      <c r="C41" s="19" t="inlineStr">
        <is>
          <t>RÉALISTE</t>
        </is>
      </c>
      <c r="D41" s="19" t="inlineStr">
        <is>
          <t>OPTIMISTE</t>
        </is>
      </c>
      <c r="E41" s="19" t="inlineStr"/>
    </row>
    <row r="42">
      <c r="A42" s="5" t="inlineStr">
        <is>
          <t>Ajustement loyer</t>
        </is>
      </c>
      <c r="B42" s="8" t="n">
        <v>-0.1</v>
      </c>
      <c r="C42" s="8" t="n">
        <v>0</v>
      </c>
      <c r="D42" s="8" t="n">
        <v>0.1</v>
      </c>
      <c r="E42" s="20" t="inlineStr">
        <is>
          <t>% ajustement du loyer de base</t>
        </is>
      </c>
    </row>
    <row r="43">
      <c r="A43" s="5" t="inlineStr">
        <is>
          <t>Vacance ajustée</t>
        </is>
      </c>
      <c r="B43" s="8" t="n">
        <v>0.08</v>
      </c>
      <c r="C43" s="8">
        <f>B26</f>
        <v/>
      </c>
      <c r="D43" s="8" t="n">
        <v>0.02</v>
      </c>
    </row>
    <row r="44">
      <c r="A44" s="5" t="inlineStr">
        <is>
          <t>Loyer annuel ajusté</t>
        </is>
      </c>
      <c r="B44" s="21">
        <f>B24*(1+B42)*12*(1-B43)</f>
        <v/>
      </c>
      <c r="C44" s="21">
        <f>B24*(1+C42)*12*(1-C43)</f>
        <v/>
      </c>
      <c r="D44" s="21">
        <f>B24*(1+D42)*12*(1-D43)</f>
        <v/>
      </c>
    </row>
    <row r="45">
      <c r="A45" s="5" t="inlineStr">
        <is>
          <t>Rentabilité brute</t>
        </is>
      </c>
      <c r="B45" s="22">
        <f>B44/B5</f>
        <v/>
      </c>
      <c r="C45" s="22">
        <f>C44/B5</f>
        <v/>
      </c>
      <c r="D45" s="22">
        <f>D44/B5</f>
        <v/>
      </c>
    </row>
    <row r="46">
      <c r="A46" s="5" t="inlineStr">
        <is>
          <t>Rentabilité nette</t>
        </is>
      </c>
      <c r="B46" s="22">
        <f>(B44-B38)/B11</f>
        <v/>
      </c>
      <c r="C46" s="22">
        <f>(C44-B38)/B11</f>
        <v/>
      </c>
      <c r="D46" s="22">
        <f>(D44-B38)/B11</f>
        <v/>
      </c>
    </row>
    <row r="47" ht="35" customHeight="1">
      <c r="A47" s="23" t="inlineStr">
        <is>
          <t>Cashflow mensuel</t>
        </is>
      </c>
      <c r="B47" s="24">
        <f>B44/12-B20-B38/12</f>
        <v/>
      </c>
      <c r="C47" s="24">
        <f>C44/12-B20-B38/12</f>
        <v/>
      </c>
      <c r="D47" s="24">
        <f>D44/12-B20-B38/12</f>
        <v/>
      </c>
    </row>
    <row r="48">
      <c r="A48" s="5" t="inlineStr">
        <is>
          <t>Cashflow annuel</t>
        </is>
      </c>
      <c r="B48" s="21">
        <f>B47*12</f>
        <v/>
      </c>
      <c r="C48" s="21">
        <f>C47*12</f>
        <v/>
      </c>
      <c r="D48" s="21">
        <f>D47*12</f>
        <v/>
      </c>
    </row>
    <row r="49">
      <c r="A49" s="5" t="inlineStr">
        <is>
          <t>Effort d'épargne mensuel</t>
        </is>
      </c>
      <c r="B49" s="25">
        <f>IF(B47&lt;0,ABS(B47),0)</f>
        <v/>
      </c>
      <c r="C49" s="25">
        <f>IF(C47&lt;0,ABS(C47),0)</f>
        <v/>
      </c>
      <c r="D49" s="25">
        <f>IF(D47&lt;0,ABS(D47),0)</f>
        <v/>
      </c>
    </row>
  </sheetData>
  <mergeCells count="7">
    <mergeCell ref="A2:F2"/>
    <mergeCell ref="A14:F14"/>
    <mergeCell ref="A1:F1"/>
    <mergeCell ref="A23:F23"/>
    <mergeCell ref="A40:F40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2026-04-11T14:58:19Z</dcterms:created>
  <dcterms:modified xmlns:dcterms="http://purl.org/dc/terms/" xmlns:xsi="http://www.w3.org/2001/XMLSchema-instance" xsi:type="dcterms:W3CDTF">2026-04-11T14:58:19Z</dcterms:modified>
</cp:coreProperties>
</file>