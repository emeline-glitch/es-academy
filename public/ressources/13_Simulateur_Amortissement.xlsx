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ur Amortissement" sheetId="1" state="visible" r:id="rId1"/>
    <sheet xmlns:r="http://schemas.openxmlformats.org/officeDocument/2006/relationships" name="Tableau Amortissement" sheetId="2" state="visible" r:id="rId2"/>
    <sheet xmlns:r="http://schemas.openxmlformats.org/officeDocument/2006/relationships" name="Comparateur Dur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.00 €"/>
  </numFmts>
  <fonts count="12">
    <font>
      <name val="Calibri"/>
      <family val="2"/>
      <color theme="1"/>
      <sz val="11"/>
      <scheme val="minor"/>
    </font>
    <font>
      <name val="Arial"/>
      <b val="1"/>
      <color rgb="002C6E55"/>
      <sz val="16"/>
    </font>
    <font>
      <name val="Arial"/>
      <i val="1"/>
      <color rgb="00888888"/>
      <sz val="9"/>
    </font>
    <font>
      <name val="Arial"/>
      <b val="1"/>
      <color rgb="002C6E55"/>
      <sz val="11"/>
    </font>
    <font>
      <name val="Arial"/>
      <b val="1"/>
      <sz val="10"/>
    </font>
    <font>
      <name val="Arial"/>
      <sz val="10"/>
    </font>
    <font>
      <name val="Arial"/>
      <b val="1"/>
      <color rgb="002C6E55"/>
      <sz val="12"/>
    </font>
    <font>
      <name val="Arial"/>
      <b val="1"/>
      <color rgb="002C6E55"/>
      <sz val="14"/>
    </font>
    <font>
      <name val="Arial"/>
      <b val="1"/>
      <color rgb="00CC0000"/>
      <sz val="12"/>
    </font>
    <font>
      <name val="Arial"/>
      <b val="1"/>
      <color rgb="00CC0000"/>
      <sz val="14"/>
    </font>
    <font>
      <name val="Arial"/>
      <b val="1"/>
      <color rgb="00FFFFFF"/>
      <sz val="11"/>
    </font>
    <font>
      <name val="Arial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DDEDE"/>
      </patternFill>
    </fill>
    <fill>
      <patternFill patternType="solid">
        <fgColor rgb="002C6E55"/>
      </patternFill>
    </fill>
    <fill>
      <patternFill patternType="solid">
        <fgColor rgb="00FFFFFF"/>
      </patternFill>
    </fill>
    <fill>
      <patternFill patternType="solid">
        <fgColor rgb="00F5F9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5" fontId="7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4" fontId="9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1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</cols>
  <sheetData>
    <row r="1" ht="40" customHeight="1">
      <c r="A1" s="1" t="inlineStr">
        <is>
          <t>SIMULATEUR TABLEAU D'AMORTISSEMENT</t>
        </is>
      </c>
    </row>
    <row r="2">
      <c r="A2" s="2" t="inlineStr">
        <is>
          <t>La méthode Emeline SIRON — Cases jaunes = à modifier | Cases vertes = résultats automatiques</t>
        </is>
      </c>
    </row>
    <row r="4">
      <c r="A4" s="3" t="inlineStr">
        <is>
          <t>PARAMÈTRES DU CRÉDIT</t>
        </is>
      </c>
      <c r="B4" s="4" t="n"/>
      <c r="C4" s="4" t="n"/>
    </row>
    <row r="5">
      <c r="A5" s="5" t="inlineStr">
        <is>
          <t>Montant emprunté</t>
        </is>
      </c>
      <c r="B5" s="6" t="n">
        <v>200000</v>
      </c>
    </row>
    <row r="6">
      <c r="A6" s="5" t="inlineStr">
        <is>
          <t>Taux d'intérêt annuel</t>
        </is>
      </c>
      <c r="B6" s="7" t="n">
        <v>0.035</v>
      </c>
    </row>
    <row r="7">
      <c r="A7" s="5" t="inlineStr">
        <is>
          <t>Durée (années)</t>
        </is>
      </c>
      <c r="B7" s="8" t="n">
        <v>20</v>
      </c>
    </row>
    <row r="8">
      <c r="A8" s="5" t="inlineStr">
        <is>
          <t>Taux assurance annuel</t>
        </is>
      </c>
      <c r="B8" s="7" t="n">
        <v>0.003</v>
      </c>
    </row>
    <row r="9">
      <c r="A9" s="5" t="inlineStr">
        <is>
          <t>Différé (mois)</t>
        </is>
      </c>
      <c r="B9" s="8" t="n">
        <v>0</v>
      </c>
    </row>
    <row r="11">
      <c r="A11" s="3" t="inlineStr">
        <is>
          <t>RÉSULTATS SYNTHÈSE</t>
        </is>
      </c>
      <c r="B11" s="4" t="n"/>
      <c r="C11" s="4" t="n"/>
    </row>
    <row r="12">
      <c r="A12" s="5" t="inlineStr">
        <is>
          <t>Mensualité crédit (hors assurance)</t>
        </is>
      </c>
      <c r="B12" s="9">
        <f>-PMT(B6/12,B7*12,B5)</f>
        <v/>
      </c>
    </row>
    <row r="13">
      <c r="A13" s="5" t="inlineStr">
        <is>
          <t>Mensualité assurance</t>
        </is>
      </c>
      <c r="B13" s="9">
        <f>B5*B8/12</f>
        <v/>
      </c>
    </row>
    <row r="14">
      <c r="A14" s="10" t="inlineStr">
        <is>
          <t>MENSUALITÉ TOTALE</t>
        </is>
      </c>
      <c r="B14" s="11">
        <f>B12+B13</f>
        <v/>
      </c>
    </row>
    <row r="15">
      <c r="A15" s="5" t="inlineStr">
        <is>
          <t>Total intérêts payés</t>
        </is>
      </c>
      <c r="B15" s="12">
        <f>B12*B7*12-B5</f>
        <v/>
      </c>
    </row>
    <row r="16">
      <c r="A16" s="5" t="inlineStr">
        <is>
          <t>Total assurance payée</t>
        </is>
      </c>
      <c r="B16" s="12">
        <f>B13*B7*12</f>
        <v/>
      </c>
    </row>
    <row r="17">
      <c r="A17" s="13" t="inlineStr">
        <is>
          <t>COÛT TOTAL DU CRÉDIT</t>
        </is>
      </c>
      <c r="B17" s="14">
        <f>B15+B16</f>
        <v/>
      </c>
    </row>
    <row r="18">
      <c r="A18" s="5" t="inlineStr">
        <is>
          <t>Coût total de l'opération</t>
        </is>
      </c>
      <c r="B18" s="12">
        <f>B5+B17</f>
        <v/>
      </c>
    </row>
  </sheetData>
  <mergeCells count="4">
    <mergeCell ref="A4:C4"/>
    <mergeCell ref="A11:C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15" t="inlineStr">
        <is>
          <t>TABLEAU D'AMORTISSEMENT DÉTAILLÉ</t>
        </is>
      </c>
    </row>
    <row r="3" ht="30" customHeight="1">
      <c r="A3" s="16" t="inlineStr">
        <is>
          <t>Mois</t>
        </is>
      </c>
      <c r="B3" s="16" t="inlineStr">
        <is>
          <t>Mensualité</t>
        </is>
      </c>
      <c r="C3" s="16" t="inlineStr">
        <is>
          <t>Intérêts</t>
        </is>
      </c>
      <c r="D3" s="16" t="inlineStr">
        <is>
          <t>Capital amorti</t>
        </is>
      </c>
      <c r="E3" s="16" t="inlineStr">
        <is>
          <t>Assurance</t>
        </is>
      </c>
      <c r="F3" s="16" t="inlineStr">
        <is>
          <t>Total payé</t>
        </is>
      </c>
      <c r="G3" s="16" t="inlineStr">
        <is>
          <t>Capital restant dû</t>
        </is>
      </c>
    </row>
    <row r="4">
      <c r="A4" s="17" t="n">
        <v>1</v>
      </c>
      <c r="B4" s="18">
        <f>IF(A4&gt;'Simulateur Amortissement'!B7*12,"",'Simulateur Amortissement'!B12)</f>
        <v/>
      </c>
      <c r="C4" s="18">
        <f>'Simulateur Amortissement'!B5*'Simulateur Amortissement'!B6/12</f>
        <v/>
      </c>
      <c r="D4" s="18">
        <f>IF(B4="","",B4-C4)</f>
        <v/>
      </c>
      <c r="E4" s="18">
        <f>IF(A4&gt;'Simulateur Amortissement'!B7*12,"",'Simulateur Amortissement'!B13)</f>
        <v/>
      </c>
      <c r="F4" s="18">
        <f>IF(B4="","",B4+E4)</f>
        <v/>
      </c>
      <c r="G4" s="18">
        <f>'Simulateur Amortissement'!B5-D4</f>
        <v/>
      </c>
    </row>
    <row r="5">
      <c r="A5" s="19" t="n">
        <v>2</v>
      </c>
      <c r="B5" s="20">
        <f>IF(A5&gt;'Simulateur Amortissement'!B7*12,"",'Simulateur Amortissement'!B12)</f>
        <v/>
      </c>
      <c r="C5" s="20">
        <f>G4*'Simulateur Amortissement'!B6/12</f>
        <v/>
      </c>
      <c r="D5" s="20">
        <f>IF(B5="","",B5-C5)</f>
        <v/>
      </c>
      <c r="E5" s="20">
        <f>IF(A5&gt;'Simulateur Amortissement'!B7*12,"",'Simulateur Amortissement'!B13)</f>
        <v/>
      </c>
      <c r="F5" s="20">
        <f>IF(B5="","",B5+E5)</f>
        <v/>
      </c>
      <c r="G5" s="20">
        <f>G4-D5</f>
        <v/>
      </c>
    </row>
    <row r="6">
      <c r="A6" s="17" t="n">
        <v>3</v>
      </c>
      <c r="B6" s="18">
        <f>IF(A6&gt;'Simulateur Amortissement'!B7*12,"",'Simulateur Amortissement'!B12)</f>
        <v/>
      </c>
      <c r="C6" s="18">
        <f>G5*'Simulateur Amortissement'!B6/12</f>
        <v/>
      </c>
      <c r="D6" s="18">
        <f>IF(B6="","",B6-C6)</f>
        <v/>
      </c>
      <c r="E6" s="18">
        <f>IF(A6&gt;'Simulateur Amortissement'!B7*12,"",'Simulateur Amortissement'!B13)</f>
        <v/>
      </c>
      <c r="F6" s="18">
        <f>IF(B6="","",B6+E6)</f>
        <v/>
      </c>
      <c r="G6" s="18">
        <f>G5-D6</f>
        <v/>
      </c>
    </row>
    <row r="7">
      <c r="A7" s="19" t="n">
        <v>4</v>
      </c>
      <c r="B7" s="20">
        <f>IF(A7&gt;'Simulateur Amortissement'!B7*12,"",'Simulateur Amortissement'!B12)</f>
        <v/>
      </c>
      <c r="C7" s="20">
        <f>G6*'Simulateur Amortissement'!B6/12</f>
        <v/>
      </c>
      <c r="D7" s="20">
        <f>IF(B7="","",B7-C7)</f>
        <v/>
      </c>
      <c r="E7" s="20">
        <f>IF(A7&gt;'Simulateur Amortissement'!B7*12,"",'Simulateur Amortissement'!B13)</f>
        <v/>
      </c>
      <c r="F7" s="20">
        <f>IF(B7="","",B7+E7)</f>
        <v/>
      </c>
      <c r="G7" s="20">
        <f>G6-D7</f>
        <v/>
      </c>
    </row>
    <row r="8">
      <c r="A8" s="17" t="n">
        <v>5</v>
      </c>
      <c r="B8" s="18">
        <f>IF(A8&gt;'Simulateur Amortissement'!B7*12,"",'Simulateur Amortissement'!B12)</f>
        <v/>
      </c>
      <c r="C8" s="18">
        <f>G7*'Simulateur Amortissement'!B6/12</f>
        <v/>
      </c>
      <c r="D8" s="18">
        <f>IF(B8="","",B8-C8)</f>
        <v/>
      </c>
      <c r="E8" s="18">
        <f>IF(A8&gt;'Simulateur Amortissement'!B7*12,"",'Simulateur Amortissement'!B13)</f>
        <v/>
      </c>
      <c r="F8" s="18">
        <f>IF(B8="","",B8+E8)</f>
        <v/>
      </c>
      <c r="G8" s="18">
        <f>G7-D8</f>
        <v/>
      </c>
    </row>
    <row r="9">
      <c r="A9" s="19" t="n">
        <v>6</v>
      </c>
      <c r="B9" s="20">
        <f>IF(A9&gt;'Simulateur Amortissement'!B7*12,"",'Simulateur Amortissement'!B12)</f>
        <v/>
      </c>
      <c r="C9" s="20">
        <f>G8*'Simulateur Amortissement'!B6/12</f>
        <v/>
      </c>
      <c r="D9" s="20">
        <f>IF(B9="","",B9-C9)</f>
        <v/>
      </c>
      <c r="E9" s="20">
        <f>IF(A9&gt;'Simulateur Amortissement'!B7*12,"",'Simulateur Amortissement'!B13)</f>
        <v/>
      </c>
      <c r="F9" s="20">
        <f>IF(B9="","",B9+E9)</f>
        <v/>
      </c>
      <c r="G9" s="20">
        <f>G8-D9</f>
        <v/>
      </c>
    </row>
    <row r="10">
      <c r="A10" s="17" t="n">
        <v>7</v>
      </c>
      <c r="B10" s="18">
        <f>IF(A10&gt;'Simulateur Amortissement'!B7*12,"",'Simulateur Amortissement'!B12)</f>
        <v/>
      </c>
      <c r="C10" s="18">
        <f>G9*'Simulateur Amortissement'!B6/12</f>
        <v/>
      </c>
      <c r="D10" s="18">
        <f>IF(B10="","",B10-C10)</f>
        <v/>
      </c>
      <c r="E10" s="18">
        <f>IF(A10&gt;'Simulateur Amortissement'!B7*12,"",'Simulateur Amortissement'!B13)</f>
        <v/>
      </c>
      <c r="F10" s="18">
        <f>IF(B10="","",B10+E10)</f>
        <v/>
      </c>
      <c r="G10" s="18">
        <f>G9-D10</f>
        <v/>
      </c>
    </row>
    <row r="11">
      <c r="A11" s="19" t="n">
        <v>8</v>
      </c>
      <c r="B11" s="20">
        <f>IF(A11&gt;'Simulateur Amortissement'!B7*12,"",'Simulateur Amortissement'!B12)</f>
        <v/>
      </c>
      <c r="C11" s="20">
        <f>G10*'Simulateur Amortissement'!B6/12</f>
        <v/>
      </c>
      <c r="D11" s="20">
        <f>IF(B11="","",B11-C11)</f>
        <v/>
      </c>
      <c r="E11" s="20">
        <f>IF(A11&gt;'Simulateur Amortissement'!B7*12,"",'Simulateur Amortissement'!B13)</f>
        <v/>
      </c>
      <c r="F11" s="20">
        <f>IF(B11="","",B11+E11)</f>
        <v/>
      </c>
      <c r="G11" s="20">
        <f>G10-D11</f>
        <v/>
      </c>
    </row>
    <row r="12">
      <c r="A12" s="17" t="n">
        <v>9</v>
      </c>
      <c r="B12" s="18">
        <f>IF(A12&gt;'Simulateur Amortissement'!B7*12,"",'Simulateur Amortissement'!B12)</f>
        <v/>
      </c>
      <c r="C12" s="18">
        <f>G11*'Simulateur Amortissement'!B6/12</f>
        <v/>
      </c>
      <c r="D12" s="18">
        <f>IF(B12="","",B12-C12)</f>
        <v/>
      </c>
      <c r="E12" s="18">
        <f>IF(A12&gt;'Simulateur Amortissement'!B7*12,"",'Simulateur Amortissement'!B13)</f>
        <v/>
      </c>
      <c r="F12" s="18">
        <f>IF(B12="","",B12+E12)</f>
        <v/>
      </c>
      <c r="G12" s="18">
        <f>G11-D12</f>
        <v/>
      </c>
    </row>
    <row r="13">
      <c r="A13" s="19" t="n">
        <v>10</v>
      </c>
      <c r="B13" s="20">
        <f>IF(A13&gt;'Simulateur Amortissement'!B7*12,"",'Simulateur Amortissement'!B12)</f>
        <v/>
      </c>
      <c r="C13" s="20">
        <f>G12*'Simulateur Amortissement'!B6/12</f>
        <v/>
      </c>
      <c r="D13" s="20">
        <f>IF(B13="","",B13-C13)</f>
        <v/>
      </c>
      <c r="E13" s="20">
        <f>IF(A13&gt;'Simulateur Amortissement'!B7*12,"",'Simulateur Amortissement'!B13)</f>
        <v/>
      </c>
      <c r="F13" s="20">
        <f>IF(B13="","",B13+E13)</f>
        <v/>
      </c>
      <c r="G13" s="20">
        <f>G12-D13</f>
        <v/>
      </c>
    </row>
    <row r="14">
      <c r="A14" s="17" t="n">
        <v>11</v>
      </c>
      <c r="B14" s="18">
        <f>IF(A14&gt;'Simulateur Amortissement'!B7*12,"",'Simulateur Amortissement'!B12)</f>
        <v/>
      </c>
      <c r="C14" s="18">
        <f>G13*'Simulateur Amortissement'!B6/12</f>
        <v/>
      </c>
      <c r="D14" s="18">
        <f>IF(B14="","",B14-C14)</f>
        <v/>
      </c>
      <c r="E14" s="18">
        <f>IF(A14&gt;'Simulateur Amortissement'!B7*12,"",'Simulateur Amortissement'!B13)</f>
        <v/>
      </c>
      <c r="F14" s="18">
        <f>IF(B14="","",B14+E14)</f>
        <v/>
      </c>
      <c r="G14" s="18">
        <f>G13-D14</f>
        <v/>
      </c>
    </row>
    <row r="15">
      <c r="A15" s="19" t="n">
        <v>12</v>
      </c>
      <c r="B15" s="20">
        <f>IF(A15&gt;'Simulateur Amortissement'!B7*12,"",'Simulateur Amortissement'!B12)</f>
        <v/>
      </c>
      <c r="C15" s="20">
        <f>G14*'Simulateur Amortissement'!B6/12</f>
        <v/>
      </c>
      <c r="D15" s="20">
        <f>IF(B15="","",B15-C15)</f>
        <v/>
      </c>
      <c r="E15" s="20">
        <f>IF(A15&gt;'Simulateur Amortissement'!B7*12,"",'Simulateur Amortissement'!B13)</f>
        <v/>
      </c>
      <c r="F15" s="20">
        <f>IF(B15="","",B15+E15)</f>
        <v/>
      </c>
      <c r="G15" s="20">
        <f>G14-D15</f>
        <v/>
      </c>
    </row>
    <row r="16">
      <c r="A16" s="17" t="n">
        <v>13</v>
      </c>
      <c r="B16" s="18">
        <f>IF(A16&gt;'Simulateur Amortissement'!B7*12,"",'Simulateur Amortissement'!B12)</f>
        <v/>
      </c>
      <c r="C16" s="18">
        <f>G15*'Simulateur Amortissement'!B6/12</f>
        <v/>
      </c>
      <c r="D16" s="18">
        <f>IF(B16="","",B16-C16)</f>
        <v/>
      </c>
      <c r="E16" s="18">
        <f>IF(A16&gt;'Simulateur Amortissement'!B7*12,"",'Simulateur Amortissement'!B13)</f>
        <v/>
      </c>
      <c r="F16" s="18">
        <f>IF(B16="","",B16+E16)</f>
        <v/>
      </c>
      <c r="G16" s="18">
        <f>G15-D16</f>
        <v/>
      </c>
    </row>
    <row r="17">
      <c r="A17" s="19" t="n">
        <v>14</v>
      </c>
      <c r="B17" s="20">
        <f>IF(A17&gt;'Simulateur Amortissement'!B7*12,"",'Simulateur Amortissement'!B12)</f>
        <v/>
      </c>
      <c r="C17" s="20">
        <f>G16*'Simulateur Amortissement'!B6/12</f>
        <v/>
      </c>
      <c r="D17" s="20">
        <f>IF(B17="","",B17-C17)</f>
        <v/>
      </c>
      <c r="E17" s="20">
        <f>IF(A17&gt;'Simulateur Amortissement'!B7*12,"",'Simulateur Amortissement'!B13)</f>
        <v/>
      </c>
      <c r="F17" s="20">
        <f>IF(B17="","",B17+E17)</f>
        <v/>
      </c>
      <c r="G17" s="20">
        <f>G16-D17</f>
        <v/>
      </c>
    </row>
    <row r="18">
      <c r="A18" s="17" t="n">
        <v>15</v>
      </c>
      <c r="B18" s="18">
        <f>IF(A18&gt;'Simulateur Amortissement'!B7*12,"",'Simulateur Amortissement'!B12)</f>
        <v/>
      </c>
      <c r="C18" s="18">
        <f>G17*'Simulateur Amortissement'!B6/12</f>
        <v/>
      </c>
      <c r="D18" s="18">
        <f>IF(B18="","",B18-C18)</f>
        <v/>
      </c>
      <c r="E18" s="18">
        <f>IF(A18&gt;'Simulateur Amortissement'!B7*12,"",'Simulateur Amortissement'!B13)</f>
        <v/>
      </c>
      <c r="F18" s="18">
        <f>IF(B18="","",B18+E18)</f>
        <v/>
      </c>
      <c r="G18" s="18">
        <f>G17-D18</f>
        <v/>
      </c>
    </row>
    <row r="19">
      <c r="A19" s="19" t="n">
        <v>16</v>
      </c>
      <c r="B19" s="20">
        <f>IF(A19&gt;'Simulateur Amortissement'!B7*12,"",'Simulateur Amortissement'!B12)</f>
        <v/>
      </c>
      <c r="C19" s="20">
        <f>G18*'Simulateur Amortissement'!B6/12</f>
        <v/>
      </c>
      <c r="D19" s="20">
        <f>IF(B19="","",B19-C19)</f>
        <v/>
      </c>
      <c r="E19" s="20">
        <f>IF(A19&gt;'Simulateur Amortissement'!B7*12,"",'Simulateur Amortissement'!B13)</f>
        <v/>
      </c>
      <c r="F19" s="20">
        <f>IF(B19="","",B19+E19)</f>
        <v/>
      </c>
      <c r="G19" s="20">
        <f>G18-D19</f>
        <v/>
      </c>
    </row>
    <row r="20">
      <c r="A20" s="17" t="n">
        <v>17</v>
      </c>
      <c r="B20" s="18">
        <f>IF(A20&gt;'Simulateur Amortissement'!B7*12,"",'Simulateur Amortissement'!B12)</f>
        <v/>
      </c>
      <c r="C20" s="18">
        <f>G19*'Simulateur Amortissement'!B6/12</f>
        <v/>
      </c>
      <c r="D20" s="18">
        <f>IF(B20="","",B20-C20)</f>
        <v/>
      </c>
      <c r="E20" s="18">
        <f>IF(A20&gt;'Simulateur Amortissement'!B7*12,"",'Simulateur Amortissement'!B13)</f>
        <v/>
      </c>
      <c r="F20" s="18">
        <f>IF(B20="","",B20+E20)</f>
        <v/>
      </c>
      <c r="G20" s="18">
        <f>G19-D20</f>
        <v/>
      </c>
    </row>
    <row r="21">
      <c r="A21" s="19" t="n">
        <v>18</v>
      </c>
      <c r="B21" s="20">
        <f>IF(A21&gt;'Simulateur Amortissement'!B7*12,"",'Simulateur Amortissement'!B12)</f>
        <v/>
      </c>
      <c r="C21" s="20">
        <f>G20*'Simulateur Amortissement'!B6/12</f>
        <v/>
      </c>
      <c r="D21" s="20">
        <f>IF(B21="","",B21-C21)</f>
        <v/>
      </c>
      <c r="E21" s="20">
        <f>IF(A21&gt;'Simulateur Amortissement'!B7*12,"",'Simulateur Amortissement'!B13)</f>
        <v/>
      </c>
      <c r="F21" s="20">
        <f>IF(B21="","",B21+E21)</f>
        <v/>
      </c>
      <c r="G21" s="20">
        <f>G20-D21</f>
        <v/>
      </c>
    </row>
    <row r="22">
      <c r="A22" s="17" t="n">
        <v>19</v>
      </c>
      <c r="B22" s="18">
        <f>IF(A22&gt;'Simulateur Amortissement'!B7*12,"",'Simulateur Amortissement'!B12)</f>
        <v/>
      </c>
      <c r="C22" s="18">
        <f>G21*'Simulateur Amortissement'!B6/12</f>
        <v/>
      </c>
      <c r="D22" s="18">
        <f>IF(B22="","",B22-C22)</f>
        <v/>
      </c>
      <c r="E22" s="18">
        <f>IF(A22&gt;'Simulateur Amortissement'!B7*12,"",'Simulateur Amortissement'!B13)</f>
        <v/>
      </c>
      <c r="F22" s="18">
        <f>IF(B22="","",B22+E22)</f>
        <v/>
      </c>
      <c r="G22" s="18">
        <f>G21-D22</f>
        <v/>
      </c>
    </row>
    <row r="23">
      <c r="A23" s="19" t="n">
        <v>20</v>
      </c>
      <c r="B23" s="20">
        <f>IF(A23&gt;'Simulateur Amortissement'!B7*12,"",'Simulateur Amortissement'!B12)</f>
        <v/>
      </c>
      <c r="C23" s="20">
        <f>G22*'Simulateur Amortissement'!B6/12</f>
        <v/>
      </c>
      <c r="D23" s="20">
        <f>IF(B23="","",B23-C23)</f>
        <v/>
      </c>
      <c r="E23" s="20">
        <f>IF(A23&gt;'Simulateur Amortissement'!B7*12,"",'Simulateur Amortissement'!B13)</f>
        <v/>
      </c>
      <c r="F23" s="20">
        <f>IF(B23="","",B23+E23)</f>
        <v/>
      </c>
      <c r="G23" s="20">
        <f>G22-D23</f>
        <v/>
      </c>
    </row>
    <row r="24">
      <c r="A24" s="17" t="n">
        <v>21</v>
      </c>
      <c r="B24" s="18">
        <f>IF(A24&gt;'Simulateur Amortissement'!B7*12,"",'Simulateur Amortissement'!B12)</f>
        <v/>
      </c>
      <c r="C24" s="18">
        <f>G23*'Simulateur Amortissement'!B6/12</f>
        <v/>
      </c>
      <c r="D24" s="18">
        <f>IF(B24="","",B24-C24)</f>
        <v/>
      </c>
      <c r="E24" s="18">
        <f>IF(A24&gt;'Simulateur Amortissement'!B7*12,"",'Simulateur Amortissement'!B13)</f>
        <v/>
      </c>
      <c r="F24" s="18">
        <f>IF(B24="","",B24+E24)</f>
        <v/>
      </c>
      <c r="G24" s="18">
        <f>G23-D24</f>
        <v/>
      </c>
    </row>
    <row r="25">
      <c r="A25" s="19" t="n">
        <v>22</v>
      </c>
      <c r="B25" s="20">
        <f>IF(A25&gt;'Simulateur Amortissement'!B7*12,"",'Simulateur Amortissement'!B12)</f>
        <v/>
      </c>
      <c r="C25" s="20">
        <f>G24*'Simulateur Amortissement'!B6/12</f>
        <v/>
      </c>
      <c r="D25" s="20">
        <f>IF(B25="","",B25-C25)</f>
        <v/>
      </c>
      <c r="E25" s="20">
        <f>IF(A25&gt;'Simulateur Amortissement'!B7*12,"",'Simulateur Amortissement'!B13)</f>
        <v/>
      </c>
      <c r="F25" s="20">
        <f>IF(B25="","",B25+E25)</f>
        <v/>
      </c>
      <c r="G25" s="20">
        <f>G24-D25</f>
        <v/>
      </c>
    </row>
    <row r="26">
      <c r="A26" s="17" t="n">
        <v>23</v>
      </c>
      <c r="B26" s="18">
        <f>IF(A26&gt;'Simulateur Amortissement'!B7*12,"",'Simulateur Amortissement'!B12)</f>
        <v/>
      </c>
      <c r="C26" s="18">
        <f>G25*'Simulateur Amortissement'!B6/12</f>
        <v/>
      </c>
      <c r="D26" s="18">
        <f>IF(B26="","",B26-C26)</f>
        <v/>
      </c>
      <c r="E26" s="18">
        <f>IF(A26&gt;'Simulateur Amortissement'!B7*12,"",'Simulateur Amortissement'!B13)</f>
        <v/>
      </c>
      <c r="F26" s="18">
        <f>IF(B26="","",B26+E26)</f>
        <v/>
      </c>
      <c r="G26" s="18">
        <f>G25-D26</f>
        <v/>
      </c>
    </row>
    <row r="27">
      <c r="A27" s="19" t="n">
        <v>24</v>
      </c>
      <c r="B27" s="20">
        <f>IF(A27&gt;'Simulateur Amortissement'!B7*12,"",'Simulateur Amortissement'!B12)</f>
        <v/>
      </c>
      <c r="C27" s="20">
        <f>G26*'Simulateur Amortissement'!B6/12</f>
        <v/>
      </c>
      <c r="D27" s="20">
        <f>IF(B27="","",B27-C27)</f>
        <v/>
      </c>
      <c r="E27" s="20">
        <f>IF(A27&gt;'Simulateur Amortissement'!B7*12,"",'Simulateur Amortissement'!B13)</f>
        <v/>
      </c>
      <c r="F27" s="20">
        <f>IF(B27="","",B27+E27)</f>
        <v/>
      </c>
      <c r="G27" s="20">
        <f>G26-D27</f>
        <v/>
      </c>
    </row>
    <row r="28">
      <c r="A28" s="17" t="n">
        <v>25</v>
      </c>
      <c r="B28" s="18">
        <f>IF(A28&gt;'Simulateur Amortissement'!B7*12,"",'Simulateur Amortissement'!B12)</f>
        <v/>
      </c>
      <c r="C28" s="18">
        <f>G27*'Simulateur Amortissement'!B6/12</f>
        <v/>
      </c>
      <c r="D28" s="18">
        <f>IF(B28="","",B28-C28)</f>
        <v/>
      </c>
      <c r="E28" s="18">
        <f>IF(A28&gt;'Simulateur Amortissement'!B7*12,"",'Simulateur Amortissement'!B13)</f>
        <v/>
      </c>
      <c r="F28" s="18">
        <f>IF(B28="","",B28+E28)</f>
        <v/>
      </c>
      <c r="G28" s="18">
        <f>G27-D28</f>
        <v/>
      </c>
    </row>
    <row r="29">
      <c r="A29" s="19" t="n">
        <v>26</v>
      </c>
      <c r="B29" s="20">
        <f>IF(A29&gt;'Simulateur Amortissement'!B7*12,"",'Simulateur Amortissement'!B12)</f>
        <v/>
      </c>
      <c r="C29" s="20">
        <f>G28*'Simulateur Amortissement'!B6/12</f>
        <v/>
      </c>
      <c r="D29" s="20">
        <f>IF(B29="","",B29-C29)</f>
        <v/>
      </c>
      <c r="E29" s="20">
        <f>IF(A29&gt;'Simulateur Amortissement'!B7*12,"",'Simulateur Amortissement'!B13)</f>
        <v/>
      </c>
      <c r="F29" s="20">
        <f>IF(B29="","",B29+E29)</f>
        <v/>
      </c>
      <c r="G29" s="20">
        <f>G28-D29</f>
        <v/>
      </c>
    </row>
    <row r="30">
      <c r="A30" s="17" t="n">
        <v>27</v>
      </c>
      <c r="B30" s="18">
        <f>IF(A30&gt;'Simulateur Amortissement'!B7*12,"",'Simulateur Amortissement'!B12)</f>
        <v/>
      </c>
      <c r="C30" s="18">
        <f>G29*'Simulateur Amortissement'!B6/12</f>
        <v/>
      </c>
      <c r="D30" s="18">
        <f>IF(B30="","",B30-C30)</f>
        <v/>
      </c>
      <c r="E30" s="18">
        <f>IF(A30&gt;'Simulateur Amortissement'!B7*12,"",'Simulateur Amortissement'!B13)</f>
        <v/>
      </c>
      <c r="F30" s="18">
        <f>IF(B30="","",B30+E30)</f>
        <v/>
      </c>
      <c r="G30" s="18">
        <f>G29-D30</f>
        <v/>
      </c>
    </row>
    <row r="31">
      <c r="A31" s="19" t="n">
        <v>28</v>
      </c>
      <c r="B31" s="20">
        <f>IF(A31&gt;'Simulateur Amortissement'!B7*12,"",'Simulateur Amortissement'!B12)</f>
        <v/>
      </c>
      <c r="C31" s="20">
        <f>G30*'Simulateur Amortissement'!B6/12</f>
        <v/>
      </c>
      <c r="D31" s="20">
        <f>IF(B31="","",B31-C31)</f>
        <v/>
      </c>
      <c r="E31" s="20">
        <f>IF(A31&gt;'Simulateur Amortissement'!B7*12,"",'Simulateur Amortissement'!B13)</f>
        <v/>
      </c>
      <c r="F31" s="20">
        <f>IF(B31="","",B31+E31)</f>
        <v/>
      </c>
      <c r="G31" s="20">
        <f>G30-D31</f>
        <v/>
      </c>
    </row>
    <row r="32">
      <c r="A32" s="17" t="n">
        <v>29</v>
      </c>
      <c r="B32" s="18">
        <f>IF(A32&gt;'Simulateur Amortissement'!B7*12,"",'Simulateur Amortissement'!B12)</f>
        <v/>
      </c>
      <c r="C32" s="18">
        <f>G31*'Simulateur Amortissement'!B6/12</f>
        <v/>
      </c>
      <c r="D32" s="18">
        <f>IF(B32="","",B32-C32)</f>
        <v/>
      </c>
      <c r="E32" s="18">
        <f>IF(A32&gt;'Simulateur Amortissement'!B7*12,"",'Simulateur Amortissement'!B13)</f>
        <v/>
      </c>
      <c r="F32" s="18">
        <f>IF(B32="","",B32+E32)</f>
        <v/>
      </c>
      <c r="G32" s="18">
        <f>G31-D32</f>
        <v/>
      </c>
    </row>
    <row r="33">
      <c r="A33" s="19" t="n">
        <v>30</v>
      </c>
      <c r="B33" s="20">
        <f>IF(A33&gt;'Simulateur Amortissement'!B7*12,"",'Simulateur Amortissement'!B12)</f>
        <v/>
      </c>
      <c r="C33" s="20">
        <f>G32*'Simulateur Amortissement'!B6/12</f>
        <v/>
      </c>
      <c r="D33" s="20">
        <f>IF(B33="","",B33-C33)</f>
        <v/>
      </c>
      <c r="E33" s="20">
        <f>IF(A33&gt;'Simulateur Amortissement'!B7*12,"",'Simulateur Amortissement'!B13)</f>
        <v/>
      </c>
      <c r="F33" s="20">
        <f>IF(B33="","",B33+E33)</f>
        <v/>
      </c>
      <c r="G33" s="20">
        <f>G32-D33</f>
        <v/>
      </c>
    </row>
    <row r="34">
      <c r="A34" s="17" t="n">
        <v>31</v>
      </c>
      <c r="B34" s="18">
        <f>IF(A34&gt;'Simulateur Amortissement'!B7*12,"",'Simulateur Amortissement'!B12)</f>
        <v/>
      </c>
      <c r="C34" s="18">
        <f>G33*'Simulateur Amortissement'!B6/12</f>
        <v/>
      </c>
      <c r="D34" s="18">
        <f>IF(B34="","",B34-C34)</f>
        <v/>
      </c>
      <c r="E34" s="18">
        <f>IF(A34&gt;'Simulateur Amortissement'!B7*12,"",'Simulateur Amortissement'!B13)</f>
        <v/>
      </c>
      <c r="F34" s="18">
        <f>IF(B34="","",B34+E34)</f>
        <v/>
      </c>
      <c r="G34" s="18">
        <f>G33-D34</f>
        <v/>
      </c>
    </row>
    <row r="35">
      <c r="A35" s="19" t="n">
        <v>32</v>
      </c>
      <c r="B35" s="20">
        <f>IF(A35&gt;'Simulateur Amortissement'!B7*12,"",'Simulateur Amortissement'!B12)</f>
        <v/>
      </c>
      <c r="C35" s="20">
        <f>G34*'Simulateur Amortissement'!B6/12</f>
        <v/>
      </c>
      <c r="D35" s="20">
        <f>IF(B35="","",B35-C35)</f>
        <v/>
      </c>
      <c r="E35" s="20">
        <f>IF(A35&gt;'Simulateur Amortissement'!B7*12,"",'Simulateur Amortissement'!B13)</f>
        <v/>
      </c>
      <c r="F35" s="20">
        <f>IF(B35="","",B35+E35)</f>
        <v/>
      </c>
      <c r="G35" s="20">
        <f>G34-D35</f>
        <v/>
      </c>
    </row>
    <row r="36">
      <c r="A36" s="17" t="n">
        <v>33</v>
      </c>
      <c r="B36" s="18">
        <f>IF(A36&gt;'Simulateur Amortissement'!B7*12,"",'Simulateur Amortissement'!B12)</f>
        <v/>
      </c>
      <c r="C36" s="18">
        <f>G35*'Simulateur Amortissement'!B6/12</f>
        <v/>
      </c>
      <c r="D36" s="18">
        <f>IF(B36="","",B36-C36)</f>
        <v/>
      </c>
      <c r="E36" s="18">
        <f>IF(A36&gt;'Simulateur Amortissement'!B7*12,"",'Simulateur Amortissement'!B13)</f>
        <v/>
      </c>
      <c r="F36" s="18">
        <f>IF(B36="","",B36+E36)</f>
        <v/>
      </c>
      <c r="G36" s="18">
        <f>G35-D36</f>
        <v/>
      </c>
    </row>
    <row r="37">
      <c r="A37" s="19" t="n">
        <v>34</v>
      </c>
      <c r="B37" s="20">
        <f>IF(A37&gt;'Simulateur Amortissement'!B7*12,"",'Simulateur Amortissement'!B12)</f>
        <v/>
      </c>
      <c r="C37" s="20">
        <f>G36*'Simulateur Amortissement'!B6/12</f>
        <v/>
      </c>
      <c r="D37" s="20">
        <f>IF(B37="","",B37-C37)</f>
        <v/>
      </c>
      <c r="E37" s="20">
        <f>IF(A37&gt;'Simulateur Amortissement'!B7*12,"",'Simulateur Amortissement'!B13)</f>
        <v/>
      </c>
      <c r="F37" s="20">
        <f>IF(B37="","",B37+E37)</f>
        <v/>
      </c>
      <c r="G37" s="20">
        <f>G36-D37</f>
        <v/>
      </c>
    </row>
    <row r="38">
      <c r="A38" s="17" t="n">
        <v>35</v>
      </c>
      <c r="B38" s="18">
        <f>IF(A38&gt;'Simulateur Amortissement'!B7*12,"",'Simulateur Amortissement'!B12)</f>
        <v/>
      </c>
      <c r="C38" s="18">
        <f>G37*'Simulateur Amortissement'!B6/12</f>
        <v/>
      </c>
      <c r="D38" s="18">
        <f>IF(B38="","",B38-C38)</f>
        <v/>
      </c>
      <c r="E38" s="18">
        <f>IF(A38&gt;'Simulateur Amortissement'!B7*12,"",'Simulateur Amortissement'!B13)</f>
        <v/>
      </c>
      <c r="F38" s="18">
        <f>IF(B38="","",B38+E38)</f>
        <v/>
      </c>
      <c r="G38" s="18">
        <f>G37-D38</f>
        <v/>
      </c>
    </row>
    <row r="39">
      <c r="A39" s="19" t="n">
        <v>36</v>
      </c>
      <c r="B39" s="20">
        <f>IF(A39&gt;'Simulateur Amortissement'!B7*12,"",'Simulateur Amortissement'!B12)</f>
        <v/>
      </c>
      <c r="C39" s="20">
        <f>G38*'Simulateur Amortissement'!B6/12</f>
        <v/>
      </c>
      <c r="D39" s="20">
        <f>IF(B39="","",B39-C39)</f>
        <v/>
      </c>
      <c r="E39" s="20">
        <f>IF(A39&gt;'Simulateur Amortissement'!B7*12,"",'Simulateur Amortissement'!B13)</f>
        <v/>
      </c>
      <c r="F39" s="20">
        <f>IF(B39="","",B39+E39)</f>
        <v/>
      </c>
      <c r="G39" s="20">
        <f>G38-D39</f>
        <v/>
      </c>
    </row>
    <row r="40">
      <c r="A40" s="17" t="n">
        <v>37</v>
      </c>
      <c r="B40" s="18">
        <f>IF(A40&gt;'Simulateur Amortissement'!B7*12,"",'Simulateur Amortissement'!B12)</f>
        <v/>
      </c>
      <c r="C40" s="18">
        <f>G39*'Simulateur Amortissement'!B6/12</f>
        <v/>
      </c>
      <c r="D40" s="18">
        <f>IF(B40="","",B40-C40)</f>
        <v/>
      </c>
      <c r="E40" s="18">
        <f>IF(A40&gt;'Simulateur Amortissement'!B7*12,"",'Simulateur Amortissement'!B13)</f>
        <v/>
      </c>
      <c r="F40" s="18">
        <f>IF(B40="","",B40+E40)</f>
        <v/>
      </c>
      <c r="G40" s="18">
        <f>G39-D40</f>
        <v/>
      </c>
    </row>
    <row r="41">
      <c r="A41" s="19" t="n">
        <v>38</v>
      </c>
      <c r="B41" s="20">
        <f>IF(A41&gt;'Simulateur Amortissement'!B7*12,"",'Simulateur Amortissement'!B12)</f>
        <v/>
      </c>
      <c r="C41" s="20">
        <f>G40*'Simulateur Amortissement'!B6/12</f>
        <v/>
      </c>
      <c r="D41" s="20">
        <f>IF(B41="","",B41-C41)</f>
        <v/>
      </c>
      <c r="E41" s="20">
        <f>IF(A41&gt;'Simulateur Amortissement'!B7*12,"",'Simulateur Amortissement'!B13)</f>
        <v/>
      </c>
      <c r="F41" s="20">
        <f>IF(B41="","",B41+E41)</f>
        <v/>
      </c>
      <c r="G41" s="20">
        <f>G40-D41</f>
        <v/>
      </c>
    </row>
    <row r="42">
      <c r="A42" s="17" t="n">
        <v>39</v>
      </c>
      <c r="B42" s="18">
        <f>IF(A42&gt;'Simulateur Amortissement'!B7*12,"",'Simulateur Amortissement'!B12)</f>
        <v/>
      </c>
      <c r="C42" s="18">
        <f>G41*'Simulateur Amortissement'!B6/12</f>
        <v/>
      </c>
      <c r="D42" s="18">
        <f>IF(B42="","",B42-C42)</f>
        <v/>
      </c>
      <c r="E42" s="18">
        <f>IF(A42&gt;'Simulateur Amortissement'!B7*12,"",'Simulateur Amortissement'!B13)</f>
        <v/>
      </c>
      <c r="F42" s="18">
        <f>IF(B42="","",B42+E42)</f>
        <v/>
      </c>
      <c r="G42" s="18">
        <f>G41-D42</f>
        <v/>
      </c>
    </row>
    <row r="43">
      <c r="A43" s="19" t="n">
        <v>40</v>
      </c>
      <c r="B43" s="20">
        <f>IF(A43&gt;'Simulateur Amortissement'!B7*12,"",'Simulateur Amortissement'!B12)</f>
        <v/>
      </c>
      <c r="C43" s="20">
        <f>G42*'Simulateur Amortissement'!B6/12</f>
        <v/>
      </c>
      <c r="D43" s="20">
        <f>IF(B43="","",B43-C43)</f>
        <v/>
      </c>
      <c r="E43" s="20">
        <f>IF(A43&gt;'Simulateur Amortissement'!B7*12,"",'Simulateur Amortissement'!B13)</f>
        <v/>
      </c>
      <c r="F43" s="20">
        <f>IF(B43="","",B43+E43)</f>
        <v/>
      </c>
      <c r="G43" s="20">
        <f>G42-D43</f>
        <v/>
      </c>
    </row>
    <row r="44">
      <c r="A44" s="17" t="n">
        <v>41</v>
      </c>
      <c r="B44" s="18">
        <f>IF(A44&gt;'Simulateur Amortissement'!B7*12,"",'Simulateur Amortissement'!B12)</f>
        <v/>
      </c>
      <c r="C44" s="18">
        <f>G43*'Simulateur Amortissement'!B6/12</f>
        <v/>
      </c>
      <c r="D44" s="18">
        <f>IF(B44="","",B44-C44)</f>
        <v/>
      </c>
      <c r="E44" s="18">
        <f>IF(A44&gt;'Simulateur Amortissement'!B7*12,"",'Simulateur Amortissement'!B13)</f>
        <v/>
      </c>
      <c r="F44" s="18">
        <f>IF(B44="","",B44+E44)</f>
        <v/>
      </c>
      <c r="G44" s="18">
        <f>G43-D44</f>
        <v/>
      </c>
    </row>
    <row r="45">
      <c r="A45" s="19" t="n">
        <v>42</v>
      </c>
      <c r="B45" s="20">
        <f>IF(A45&gt;'Simulateur Amortissement'!B7*12,"",'Simulateur Amortissement'!B12)</f>
        <v/>
      </c>
      <c r="C45" s="20">
        <f>G44*'Simulateur Amortissement'!B6/12</f>
        <v/>
      </c>
      <c r="D45" s="20">
        <f>IF(B45="","",B45-C45)</f>
        <v/>
      </c>
      <c r="E45" s="20">
        <f>IF(A45&gt;'Simulateur Amortissement'!B7*12,"",'Simulateur Amortissement'!B13)</f>
        <v/>
      </c>
      <c r="F45" s="20">
        <f>IF(B45="","",B45+E45)</f>
        <v/>
      </c>
      <c r="G45" s="20">
        <f>G44-D45</f>
        <v/>
      </c>
    </row>
    <row r="46">
      <c r="A46" s="17" t="n">
        <v>43</v>
      </c>
      <c r="B46" s="18">
        <f>IF(A46&gt;'Simulateur Amortissement'!B7*12,"",'Simulateur Amortissement'!B12)</f>
        <v/>
      </c>
      <c r="C46" s="18">
        <f>G45*'Simulateur Amortissement'!B6/12</f>
        <v/>
      </c>
      <c r="D46" s="18">
        <f>IF(B46="","",B46-C46)</f>
        <v/>
      </c>
      <c r="E46" s="18">
        <f>IF(A46&gt;'Simulateur Amortissement'!B7*12,"",'Simulateur Amortissement'!B13)</f>
        <v/>
      </c>
      <c r="F46" s="18">
        <f>IF(B46="","",B46+E46)</f>
        <v/>
      </c>
      <c r="G46" s="18">
        <f>G45-D46</f>
        <v/>
      </c>
    </row>
    <row r="47">
      <c r="A47" s="19" t="n">
        <v>44</v>
      </c>
      <c r="B47" s="20">
        <f>IF(A47&gt;'Simulateur Amortissement'!B7*12,"",'Simulateur Amortissement'!B12)</f>
        <v/>
      </c>
      <c r="C47" s="20">
        <f>G46*'Simulateur Amortissement'!B6/12</f>
        <v/>
      </c>
      <c r="D47" s="20">
        <f>IF(B47="","",B47-C47)</f>
        <v/>
      </c>
      <c r="E47" s="20">
        <f>IF(A47&gt;'Simulateur Amortissement'!B7*12,"",'Simulateur Amortissement'!B13)</f>
        <v/>
      </c>
      <c r="F47" s="20">
        <f>IF(B47="","",B47+E47)</f>
        <v/>
      </c>
      <c r="G47" s="20">
        <f>G46-D47</f>
        <v/>
      </c>
    </row>
    <row r="48">
      <c r="A48" s="17" t="n">
        <v>45</v>
      </c>
      <c r="B48" s="18">
        <f>IF(A48&gt;'Simulateur Amortissement'!B7*12,"",'Simulateur Amortissement'!B12)</f>
        <v/>
      </c>
      <c r="C48" s="18">
        <f>G47*'Simulateur Amortissement'!B6/12</f>
        <v/>
      </c>
      <c r="D48" s="18">
        <f>IF(B48="","",B48-C48)</f>
        <v/>
      </c>
      <c r="E48" s="18">
        <f>IF(A48&gt;'Simulateur Amortissement'!B7*12,"",'Simulateur Amortissement'!B13)</f>
        <v/>
      </c>
      <c r="F48" s="18">
        <f>IF(B48="","",B48+E48)</f>
        <v/>
      </c>
      <c r="G48" s="18">
        <f>G47-D48</f>
        <v/>
      </c>
    </row>
    <row r="49">
      <c r="A49" s="19" t="n">
        <v>46</v>
      </c>
      <c r="B49" s="20">
        <f>IF(A49&gt;'Simulateur Amortissement'!B7*12,"",'Simulateur Amortissement'!B12)</f>
        <v/>
      </c>
      <c r="C49" s="20">
        <f>G48*'Simulateur Amortissement'!B6/12</f>
        <v/>
      </c>
      <c r="D49" s="20">
        <f>IF(B49="","",B49-C49)</f>
        <v/>
      </c>
      <c r="E49" s="20">
        <f>IF(A49&gt;'Simulateur Amortissement'!B7*12,"",'Simulateur Amortissement'!B13)</f>
        <v/>
      </c>
      <c r="F49" s="20">
        <f>IF(B49="","",B49+E49)</f>
        <v/>
      </c>
      <c r="G49" s="20">
        <f>G48-D49</f>
        <v/>
      </c>
    </row>
    <row r="50">
      <c r="A50" s="17" t="n">
        <v>47</v>
      </c>
      <c r="B50" s="18">
        <f>IF(A50&gt;'Simulateur Amortissement'!B7*12,"",'Simulateur Amortissement'!B12)</f>
        <v/>
      </c>
      <c r="C50" s="18">
        <f>G49*'Simulateur Amortissement'!B6/12</f>
        <v/>
      </c>
      <c r="D50" s="18">
        <f>IF(B50="","",B50-C50)</f>
        <v/>
      </c>
      <c r="E50" s="18">
        <f>IF(A50&gt;'Simulateur Amortissement'!B7*12,"",'Simulateur Amortissement'!B13)</f>
        <v/>
      </c>
      <c r="F50" s="18">
        <f>IF(B50="","",B50+E50)</f>
        <v/>
      </c>
      <c r="G50" s="18">
        <f>G49-D50</f>
        <v/>
      </c>
    </row>
    <row r="51">
      <c r="A51" s="19" t="n">
        <v>48</v>
      </c>
      <c r="B51" s="20">
        <f>IF(A51&gt;'Simulateur Amortissement'!B7*12,"",'Simulateur Amortissement'!B12)</f>
        <v/>
      </c>
      <c r="C51" s="20">
        <f>G50*'Simulateur Amortissement'!B6/12</f>
        <v/>
      </c>
      <c r="D51" s="20">
        <f>IF(B51="","",B51-C51)</f>
        <v/>
      </c>
      <c r="E51" s="20">
        <f>IF(A51&gt;'Simulateur Amortissement'!B7*12,"",'Simulateur Amortissement'!B13)</f>
        <v/>
      </c>
      <c r="F51" s="20">
        <f>IF(B51="","",B51+E51)</f>
        <v/>
      </c>
      <c r="G51" s="20">
        <f>G50-D51</f>
        <v/>
      </c>
    </row>
    <row r="52">
      <c r="A52" s="17" t="n">
        <v>49</v>
      </c>
      <c r="B52" s="18">
        <f>IF(A52&gt;'Simulateur Amortissement'!B7*12,"",'Simulateur Amortissement'!B12)</f>
        <v/>
      </c>
      <c r="C52" s="18">
        <f>G51*'Simulateur Amortissement'!B6/12</f>
        <v/>
      </c>
      <c r="D52" s="18">
        <f>IF(B52="","",B52-C52)</f>
        <v/>
      </c>
      <c r="E52" s="18">
        <f>IF(A52&gt;'Simulateur Amortissement'!B7*12,"",'Simulateur Amortissement'!B13)</f>
        <v/>
      </c>
      <c r="F52" s="18">
        <f>IF(B52="","",B52+E52)</f>
        <v/>
      </c>
      <c r="G52" s="18">
        <f>G51-D52</f>
        <v/>
      </c>
    </row>
    <row r="53">
      <c r="A53" s="19" t="n">
        <v>50</v>
      </c>
      <c r="B53" s="20">
        <f>IF(A53&gt;'Simulateur Amortissement'!B7*12,"",'Simulateur Amortissement'!B12)</f>
        <v/>
      </c>
      <c r="C53" s="20">
        <f>G52*'Simulateur Amortissement'!B6/12</f>
        <v/>
      </c>
      <c r="D53" s="20">
        <f>IF(B53="","",B53-C53)</f>
        <v/>
      </c>
      <c r="E53" s="20">
        <f>IF(A53&gt;'Simulateur Amortissement'!B7*12,"",'Simulateur Amortissement'!B13)</f>
        <v/>
      </c>
      <c r="F53" s="20">
        <f>IF(B53="","",B53+E53)</f>
        <v/>
      </c>
      <c r="G53" s="20">
        <f>G52-D53</f>
        <v/>
      </c>
    </row>
    <row r="54">
      <c r="A54" s="17" t="n">
        <v>51</v>
      </c>
      <c r="B54" s="18">
        <f>IF(A54&gt;'Simulateur Amortissement'!B7*12,"",'Simulateur Amortissement'!B12)</f>
        <v/>
      </c>
      <c r="C54" s="18">
        <f>G53*'Simulateur Amortissement'!B6/12</f>
        <v/>
      </c>
      <c r="D54" s="18">
        <f>IF(B54="","",B54-C54)</f>
        <v/>
      </c>
      <c r="E54" s="18">
        <f>IF(A54&gt;'Simulateur Amortissement'!B7*12,"",'Simulateur Amortissement'!B13)</f>
        <v/>
      </c>
      <c r="F54" s="18">
        <f>IF(B54="","",B54+E54)</f>
        <v/>
      </c>
      <c r="G54" s="18">
        <f>G53-D54</f>
        <v/>
      </c>
    </row>
    <row r="55">
      <c r="A55" s="19" t="n">
        <v>52</v>
      </c>
      <c r="B55" s="20">
        <f>IF(A55&gt;'Simulateur Amortissement'!B7*12,"",'Simulateur Amortissement'!B12)</f>
        <v/>
      </c>
      <c r="C55" s="20">
        <f>G54*'Simulateur Amortissement'!B6/12</f>
        <v/>
      </c>
      <c r="D55" s="20">
        <f>IF(B55="","",B55-C55)</f>
        <v/>
      </c>
      <c r="E55" s="20">
        <f>IF(A55&gt;'Simulateur Amortissement'!B7*12,"",'Simulateur Amortissement'!B13)</f>
        <v/>
      </c>
      <c r="F55" s="20">
        <f>IF(B55="","",B55+E55)</f>
        <v/>
      </c>
      <c r="G55" s="20">
        <f>G54-D55</f>
        <v/>
      </c>
    </row>
    <row r="56">
      <c r="A56" s="17" t="n">
        <v>53</v>
      </c>
      <c r="B56" s="18">
        <f>IF(A56&gt;'Simulateur Amortissement'!B7*12,"",'Simulateur Amortissement'!B12)</f>
        <v/>
      </c>
      <c r="C56" s="18">
        <f>G55*'Simulateur Amortissement'!B6/12</f>
        <v/>
      </c>
      <c r="D56" s="18">
        <f>IF(B56="","",B56-C56)</f>
        <v/>
      </c>
      <c r="E56" s="18">
        <f>IF(A56&gt;'Simulateur Amortissement'!B7*12,"",'Simulateur Amortissement'!B13)</f>
        <v/>
      </c>
      <c r="F56" s="18">
        <f>IF(B56="","",B56+E56)</f>
        <v/>
      </c>
      <c r="G56" s="18">
        <f>G55-D56</f>
        <v/>
      </c>
    </row>
    <row r="57">
      <c r="A57" s="19" t="n">
        <v>54</v>
      </c>
      <c r="B57" s="20">
        <f>IF(A57&gt;'Simulateur Amortissement'!B7*12,"",'Simulateur Amortissement'!B12)</f>
        <v/>
      </c>
      <c r="C57" s="20">
        <f>G56*'Simulateur Amortissement'!B6/12</f>
        <v/>
      </c>
      <c r="D57" s="20">
        <f>IF(B57="","",B57-C57)</f>
        <v/>
      </c>
      <c r="E57" s="20">
        <f>IF(A57&gt;'Simulateur Amortissement'!B7*12,"",'Simulateur Amortissement'!B13)</f>
        <v/>
      </c>
      <c r="F57" s="20">
        <f>IF(B57="","",B57+E57)</f>
        <v/>
      </c>
      <c r="G57" s="20">
        <f>G56-D57</f>
        <v/>
      </c>
    </row>
    <row r="58">
      <c r="A58" s="17" t="n">
        <v>55</v>
      </c>
      <c r="B58" s="18">
        <f>IF(A58&gt;'Simulateur Amortissement'!B7*12,"",'Simulateur Amortissement'!B12)</f>
        <v/>
      </c>
      <c r="C58" s="18">
        <f>G57*'Simulateur Amortissement'!B6/12</f>
        <v/>
      </c>
      <c r="D58" s="18">
        <f>IF(B58="","",B58-C58)</f>
        <v/>
      </c>
      <c r="E58" s="18">
        <f>IF(A58&gt;'Simulateur Amortissement'!B7*12,"",'Simulateur Amortissement'!B13)</f>
        <v/>
      </c>
      <c r="F58" s="18">
        <f>IF(B58="","",B58+E58)</f>
        <v/>
      </c>
      <c r="G58" s="18">
        <f>G57-D58</f>
        <v/>
      </c>
    </row>
    <row r="59">
      <c r="A59" s="19" t="n">
        <v>56</v>
      </c>
      <c r="B59" s="20">
        <f>IF(A59&gt;'Simulateur Amortissement'!B7*12,"",'Simulateur Amortissement'!B12)</f>
        <v/>
      </c>
      <c r="C59" s="20">
        <f>G58*'Simulateur Amortissement'!B6/12</f>
        <v/>
      </c>
      <c r="D59" s="20">
        <f>IF(B59="","",B59-C59)</f>
        <v/>
      </c>
      <c r="E59" s="20">
        <f>IF(A59&gt;'Simulateur Amortissement'!B7*12,"",'Simulateur Amortissement'!B13)</f>
        <v/>
      </c>
      <c r="F59" s="20">
        <f>IF(B59="","",B59+E59)</f>
        <v/>
      </c>
      <c r="G59" s="20">
        <f>G58-D59</f>
        <v/>
      </c>
    </row>
    <row r="60">
      <c r="A60" s="17" t="n">
        <v>57</v>
      </c>
      <c r="B60" s="18">
        <f>IF(A60&gt;'Simulateur Amortissement'!B7*12,"",'Simulateur Amortissement'!B12)</f>
        <v/>
      </c>
      <c r="C60" s="18">
        <f>G59*'Simulateur Amortissement'!B6/12</f>
        <v/>
      </c>
      <c r="D60" s="18">
        <f>IF(B60="","",B60-C60)</f>
        <v/>
      </c>
      <c r="E60" s="18">
        <f>IF(A60&gt;'Simulateur Amortissement'!B7*12,"",'Simulateur Amortissement'!B13)</f>
        <v/>
      </c>
      <c r="F60" s="18">
        <f>IF(B60="","",B60+E60)</f>
        <v/>
      </c>
      <c r="G60" s="18">
        <f>G59-D60</f>
        <v/>
      </c>
    </row>
    <row r="61">
      <c r="A61" s="19" t="n">
        <v>58</v>
      </c>
      <c r="B61" s="20">
        <f>IF(A61&gt;'Simulateur Amortissement'!B7*12,"",'Simulateur Amortissement'!B12)</f>
        <v/>
      </c>
      <c r="C61" s="20">
        <f>G60*'Simulateur Amortissement'!B6/12</f>
        <v/>
      </c>
      <c r="D61" s="20">
        <f>IF(B61="","",B61-C61)</f>
        <v/>
      </c>
      <c r="E61" s="20">
        <f>IF(A61&gt;'Simulateur Amortissement'!B7*12,"",'Simulateur Amortissement'!B13)</f>
        <v/>
      </c>
      <c r="F61" s="20">
        <f>IF(B61="","",B61+E61)</f>
        <v/>
      </c>
      <c r="G61" s="20">
        <f>G60-D61</f>
        <v/>
      </c>
    </row>
    <row r="62">
      <c r="A62" s="17" t="n">
        <v>59</v>
      </c>
      <c r="B62" s="18">
        <f>IF(A62&gt;'Simulateur Amortissement'!B7*12,"",'Simulateur Amortissement'!B12)</f>
        <v/>
      </c>
      <c r="C62" s="18">
        <f>G61*'Simulateur Amortissement'!B6/12</f>
        <v/>
      </c>
      <c r="D62" s="18">
        <f>IF(B62="","",B62-C62)</f>
        <v/>
      </c>
      <c r="E62" s="18">
        <f>IF(A62&gt;'Simulateur Amortissement'!B7*12,"",'Simulateur Amortissement'!B13)</f>
        <v/>
      </c>
      <c r="F62" s="18">
        <f>IF(B62="","",B62+E62)</f>
        <v/>
      </c>
      <c r="G62" s="18">
        <f>G61-D62</f>
        <v/>
      </c>
    </row>
    <row r="63">
      <c r="A63" s="19" t="n">
        <v>60</v>
      </c>
      <c r="B63" s="20">
        <f>IF(A63&gt;'Simulateur Amortissement'!B7*12,"",'Simulateur Amortissement'!B12)</f>
        <v/>
      </c>
      <c r="C63" s="20">
        <f>G62*'Simulateur Amortissement'!B6/12</f>
        <v/>
      </c>
      <c r="D63" s="20">
        <f>IF(B63="","",B63-C63)</f>
        <v/>
      </c>
      <c r="E63" s="20">
        <f>IF(A63&gt;'Simulateur Amortissement'!B7*12,"",'Simulateur Amortissement'!B13)</f>
        <v/>
      </c>
      <c r="F63" s="20">
        <f>IF(B63="","",B63+E63)</f>
        <v/>
      </c>
      <c r="G63" s="20">
        <f>G62-D63</f>
        <v/>
      </c>
    </row>
    <row r="64">
      <c r="A64" s="17" t="n">
        <v>61</v>
      </c>
      <c r="B64" s="18">
        <f>IF(A64&gt;'Simulateur Amortissement'!B7*12,"",'Simulateur Amortissement'!B12)</f>
        <v/>
      </c>
      <c r="C64" s="18">
        <f>G63*'Simulateur Amortissement'!B6/12</f>
        <v/>
      </c>
      <c r="D64" s="18">
        <f>IF(B64="","",B64-C64)</f>
        <v/>
      </c>
      <c r="E64" s="18">
        <f>IF(A64&gt;'Simulateur Amortissement'!B7*12,"",'Simulateur Amortissement'!B13)</f>
        <v/>
      </c>
      <c r="F64" s="18">
        <f>IF(B64="","",B64+E64)</f>
        <v/>
      </c>
      <c r="G64" s="18">
        <f>G63-D64</f>
        <v/>
      </c>
    </row>
    <row r="65">
      <c r="A65" s="19" t="n">
        <v>62</v>
      </c>
      <c r="B65" s="20">
        <f>IF(A65&gt;'Simulateur Amortissement'!B7*12,"",'Simulateur Amortissement'!B12)</f>
        <v/>
      </c>
      <c r="C65" s="20">
        <f>G64*'Simulateur Amortissement'!B6/12</f>
        <v/>
      </c>
      <c r="D65" s="20">
        <f>IF(B65="","",B65-C65)</f>
        <v/>
      </c>
      <c r="E65" s="20">
        <f>IF(A65&gt;'Simulateur Amortissement'!B7*12,"",'Simulateur Amortissement'!B13)</f>
        <v/>
      </c>
      <c r="F65" s="20">
        <f>IF(B65="","",B65+E65)</f>
        <v/>
      </c>
      <c r="G65" s="20">
        <f>G64-D65</f>
        <v/>
      </c>
    </row>
    <row r="66">
      <c r="A66" s="17" t="n">
        <v>63</v>
      </c>
      <c r="B66" s="18">
        <f>IF(A66&gt;'Simulateur Amortissement'!B7*12,"",'Simulateur Amortissement'!B12)</f>
        <v/>
      </c>
      <c r="C66" s="18">
        <f>G65*'Simulateur Amortissement'!B6/12</f>
        <v/>
      </c>
      <c r="D66" s="18">
        <f>IF(B66="","",B66-C66)</f>
        <v/>
      </c>
      <c r="E66" s="18">
        <f>IF(A66&gt;'Simulateur Amortissement'!B7*12,"",'Simulateur Amortissement'!B13)</f>
        <v/>
      </c>
      <c r="F66" s="18">
        <f>IF(B66="","",B66+E66)</f>
        <v/>
      </c>
      <c r="G66" s="18">
        <f>G65-D66</f>
        <v/>
      </c>
    </row>
    <row r="67">
      <c r="A67" s="19" t="n">
        <v>64</v>
      </c>
      <c r="B67" s="20">
        <f>IF(A67&gt;'Simulateur Amortissement'!B7*12,"",'Simulateur Amortissement'!B12)</f>
        <v/>
      </c>
      <c r="C67" s="20">
        <f>G66*'Simulateur Amortissement'!B6/12</f>
        <v/>
      </c>
      <c r="D67" s="20">
        <f>IF(B67="","",B67-C67)</f>
        <v/>
      </c>
      <c r="E67" s="20">
        <f>IF(A67&gt;'Simulateur Amortissement'!B7*12,"",'Simulateur Amortissement'!B13)</f>
        <v/>
      </c>
      <c r="F67" s="20">
        <f>IF(B67="","",B67+E67)</f>
        <v/>
      </c>
      <c r="G67" s="20">
        <f>G66-D67</f>
        <v/>
      </c>
    </row>
    <row r="68">
      <c r="A68" s="17" t="n">
        <v>65</v>
      </c>
      <c r="B68" s="18">
        <f>IF(A68&gt;'Simulateur Amortissement'!B7*12,"",'Simulateur Amortissement'!B12)</f>
        <v/>
      </c>
      <c r="C68" s="18">
        <f>G67*'Simulateur Amortissement'!B6/12</f>
        <v/>
      </c>
      <c r="D68" s="18">
        <f>IF(B68="","",B68-C68)</f>
        <v/>
      </c>
      <c r="E68" s="18">
        <f>IF(A68&gt;'Simulateur Amortissement'!B7*12,"",'Simulateur Amortissement'!B13)</f>
        <v/>
      </c>
      <c r="F68" s="18">
        <f>IF(B68="","",B68+E68)</f>
        <v/>
      </c>
      <c r="G68" s="18">
        <f>G67-D68</f>
        <v/>
      </c>
    </row>
    <row r="69">
      <c r="A69" s="19" t="n">
        <v>66</v>
      </c>
      <c r="B69" s="20">
        <f>IF(A69&gt;'Simulateur Amortissement'!B7*12,"",'Simulateur Amortissement'!B12)</f>
        <v/>
      </c>
      <c r="C69" s="20">
        <f>G68*'Simulateur Amortissement'!B6/12</f>
        <v/>
      </c>
      <c r="D69" s="20">
        <f>IF(B69="","",B69-C69)</f>
        <v/>
      </c>
      <c r="E69" s="20">
        <f>IF(A69&gt;'Simulateur Amortissement'!B7*12,"",'Simulateur Amortissement'!B13)</f>
        <v/>
      </c>
      <c r="F69" s="20">
        <f>IF(B69="","",B69+E69)</f>
        <v/>
      </c>
      <c r="G69" s="20">
        <f>G68-D69</f>
        <v/>
      </c>
    </row>
    <row r="70">
      <c r="A70" s="17" t="n">
        <v>67</v>
      </c>
      <c r="B70" s="18">
        <f>IF(A70&gt;'Simulateur Amortissement'!B7*12,"",'Simulateur Amortissement'!B12)</f>
        <v/>
      </c>
      <c r="C70" s="18">
        <f>G69*'Simulateur Amortissement'!B6/12</f>
        <v/>
      </c>
      <c r="D70" s="18">
        <f>IF(B70="","",B70-C70)</f>
        <v/>
      </c>
      <c r="E70" s="18">
        <f>IF(A70&gt;'Simulateur Amortissement'!B7*12,"",'Simulateur Amortissement'!B13)</f>
        <v/>
      </c>
      <c r="F70" s="18">
        <f>IF(B70="","",B70+E70)</f>
        <v/>
      </c>
      <c r="G70" s="18">
        <f>G69-D70</f>
        <v/>
      </c>
    </row>
    <row r="71">
      <c r="A71" s="19" t="n">
        <v>68</v>
      </c>
      <c r="B71" s="20">
        <f>IF(A71&gt;'Simulateur Amortissement'!B7*12,"",'Simulateur Amortissement'!B12)</f>
        <v/>
      </c>
      <c r="C71" s="20">
        <f>G70*'Simulateur Amortissement'!B6/12</f>
        <v/>
      </c>
      <c r="D71" s="20">
        <f>IF(B71="","",B71-C71)</f>
        <v/>
      </c>
      <c r="E71" s="20">
        <f>IF(A71&gt;'Simulateur Amortissement'!B7*12,"",'Simulateur Amortissement'!B13)</f>
        <v/>
      </c>
      <c r="F71" s="20">
        <f>IF(B71="","",B71+E71)</f>
        <v/>
      </c>
      <c r="G71" s="20">
        <f>G70-D71</f>
        <v/>
      </c>
    </row>
    <row r="72">
      <c r="A72" s="17" t="n">
        <v>69</v>
      </c>
      <c r="B72" s="18">
        <f>IF(A72&gt;'Simulateur Amortissement'!B7*12,"",'Simulateur Amortissement'!B12)</f>
        <v/>
      </c>
      <c r="C72" s="18">
        <f>G71*'Simulateur Amortissement'!B6/12</f>
        <v/>
      </c>
      <c r="D72" s="18">
        <f>IF(B72="","",B72-C72)</f>
        <v/>
      </c>
      <c r="E72" s="18">
        <f>IF(A72&gt;'Simulateur Amortissement'!B7*12,"",'Simulateur Amortissement'!B13)</f>
        <v/>
      </c>
      <c r="F72" s="18">
        <f>IF(B72="","",B72+E72)</f>
        <v/>
      </c>
      <c r="G72" s="18">
        <f>G71-D72</f>
        <v/>
      </c>
    </row>
    <row r="73">
      <c r="A73" s="19" t="n">
        <v>70</v>
      </c>
      <c r="B73" s="20">
        <f>IF(A73&gt;'Simulateur Amortissement'!B7*12,"",'Simulateur Amortissement'!B12)</f>
        <v/>
      </c>
      <c r="C73" s="20">
        <f>G72*'Simulateur Amortissement'!B6/12</f>
        <v/>
      </c>
      <c r="D73" s="20">
        <f>IF(B73="","",B73-C73)</f>
        <v/>
      </c>
      <c r="E73" s="20">
        <f>IF(A73&gt;'Simulateur Amortissement'!B7*12,"",'Simulateur Amortissement'!B13)</f>
        <v/>
      </c>
      <c r="F73" s="20">
        <f>IF(B73="","",B73+E73)</f>
        <v/>
      </c>
      <c r="G73" s="20">
        <f>G72-D73</f>
        <v/>
      </c>
    </row>
    <row r="74">
      <c r="A74" s="17" t="n">
        <v>71</v>
      </c>
      <c r="B74" s="18">
        <f>IF(A74&gt;'Simulateur Amortissement'!B7*12,"",'Simulateur Amortissement'!B12)</f>
        <v/>
      </c>
      <c r="C74" s="18">
        <f>G73*'Simulateur Amortissement'!B6/12</f>
        <v/>
      </c>
      <c r="D74" s="18">
        <f>IF(B74="","",B74-C74)</f>
        <v/>
      </c>
      <c r="E74" s="18">
        <f>IF(A74&gt;'Simulateur Amortissement'!B7*12,"",'Simulateur Amortissement'!B13)</f>
        <v/>
      </c>
      <c r="F74" s="18">
        <f>IF(B74="","",B74+E74)</f>
        <v/>
      </c>
      <c r="G74" s="18">
        <f>G73-D74</f>
        <v/>
      </c>
    </row>
    <row r="75">
      <c r="A75" s="19" t="n">
        <v>72</v>
      </c>
      <c r="B75" s="20">
        <f>IF(A75&gt;'Simulateur Amortissement'!B7*12,"",'Simulateur Amortissement'!B12)</f>
        <v/>
      </c>
      <c r="C75" s="20">
        <f>G74*'Simulateur Amortissement'!B6/12</f>
        <v/>
      </c>
      <c r="D75" s="20">
        <f>IF(B75="","",B75-C75)</f>
        <v/>
      </c>
      <c r="E75" s="20">
        <f>IF(A75&gt;'Simulateur Amortissement'!B7*12,"",'Simulateur Amortissement'!B13)</f>
        <v/>
      </c>
      <c r="F75" s="20">
        <f>IF(B75="","",B75+E75)</f>
        <v/>
      </c>
      <c r="G75" s="20">
        <f>G74-D75</f>
        <v/>
      </c>
    </row>
    <row r="76">
      <c r="A76" s="17" t="n">
        <v>73</v>
      </c>
      <c r="B76" s="18">
        <f>IF(A76&gt;'Simulateur Amortissement'!B7*12,"",'Simulateur Amortissement'!B12)</f>
        <v/>
      </c>
      <c r="C76" s="18">
        <f>G75*'Simulateur Amortissement'!B6/12</f>
        <v/>
      </c>
      <c r="D76" s="18">
        <f>IF(B76="","",B76-C76)</f>
        <v/>
      </c>
      <c r="E76" s="18">
        <f>IF(A76&gt;'Simulateur Amortissement'!B7*12,"",'Simulateur Amortissement'!B13)</f>
        <v/>
      </c>
      <c r="F76" s="18">
        <f>IF(B76="","",B76+E76)</f>
        <v/>
      </c>
      <c r="G76" s="18">
        <f>G75-D76</f>
        <v/>
      </c>
    </row>
    <row r="77">
      <c r="A77" s="19" t="n">
        <v>74</v>
      </c>
      <c r="B77" s="20">
        <f>IF(A77&gt;'Simulateur Amortissement'!B7*12,"",'Simulateur Amortissement'!B12)</f>
        <v/>
      </c>
      <c r="C77" s="20">
        <f>G76*'Simulateur Amortissement'!B6/12</f>
        <v/>
      </c>
      <c r="D77" s="20">
        <f>IF(B77="","",B77-C77)</f>
        <v/>
      </c>
      <c r="E77" s="20">
        <f>IF(A77&gt;'Simulateur Amortissement'!B7*12,"",'Simulateur Amortissement'!B13)</f>
        <v/>
      </c>
      <c r="F77" s="20">
        <f>IF(B77="","",B77+E77)</f>
        <v/>
      </c>
      <c r="G77" s="20">
        <f>G76-D77</f>
        <v/>
      </c>
    </row>
    <row r="78">
      <c r="A78" s="17" t="n">
        <v>75</v>
      </c>
      <c r="B78" s="18">
        <f>IF(A78&gt;'Simulateur Amortissement'!B7*12,"",'Simulateur Amortissement'!B12)</f>
        <v/>
      </c>
      <c r="C78" s="18">
        <f>G77*'Simulateur Amortissement'!B6/12</f>
        <v/>
      </c>
      <c r="D78" s="18">
        <f>IF(B78="","",B78-C78)</f>
        <v/>
      </c>
      <c r="E78" s="18">
        <f>IF(A78&gt;'Simulateur Amortissement'!B7*12,"",'Simulateur Amortissement'!B13)</f>
        <v/>
      </c>
      <c r="F78" s="18">
        <f>IF(B78="","",B78+E78)</f>
        <v/>
      </c>
      <c r="G78" s="18">
        <f>G77-D78</f>
        <v/>
      </c>
    </row>
    <row r="79">
      <c r="A79" s="19" t="n">
        <v>76</v>
      </c>
      <c r="B79" s="20">
        <f>IF(A79&gt;'Simulateur Amortissement'!B7*12,"",'Simulateur Amortissement'!B12)</f>
        <v/>
      </c>
      <c r="C79" s="20">
        <f>G78*'Simulateur Amortissement'!B6/12</f>
        <v/>
      </c>
      <c r="D79" s="20">
        <f>IF(B79="","",B79-C79)</f>
        <v/>
      </c>
      <c r="E79" s="20">
        <f>IF(A79&gt;'Simulateur Amortissement'!B7*12,"",'Simulateur Amortissement'!B13)</f>
        <v/>
      </c>
      <c r="F79" s="20">
        <f>IF(B79="","",B79+E79)</f>
        <v/>
      </c>
      <c r="G79" s="20">
        <f>G78-D79</f>
        <v/>
      </c>
    </row>
    <row r="80">
      <c r="A80" s="17" t="n">
        <v>77</v>
      </c>
      <c r="B80" s="18">
        <f>IF(A80&gt;'Simulateur Amortissement'!B7*12,"",'Simulateur Amortissement'!B12)</f>
        <v/>
      </c>
      <c r="C80" s="18">
        <f>G79*'Simulateur Amortissement'!B6/12</f>
        <v/>
      </c>
      <c r="D80" s="18">
        <f>IF(B80="","",B80-C80)</f>
        <v/>
      </c>
      <c r="E80" s="18">
        <f>IF(A80&gt;'Simulateur Amortissement'!B7*12,"",'Simulateur Amortissement'!B13)</f>
        <v/>
      </c>
      <c r="F80" s="18">
        <f>IF(B80="","",B80+E80)</f>
        <v/>
      </c>
      <c r="G80" s="18">
        <f>G79-D80</f>
        <v/>
      </c>
    </row>
    <row r="81">
      <c r="A81" s="19" t="n">
        <v>78</v>
      </c>
      <c r="B81" s="20">
        <f>IF(A81&gt;'Simulateur Amortissement'!B7*12,"",'Simulateur Amortissement'!B12)</f>
        <v/>
      </c>
      <c r="C81" s="20">
        <f>G80*'Simulateur Amortissement'!B6/12</f>
        <v/>
      </c>
      <c r="D81" s="20">
        <f>IF(B81="","",B81-C81)</f>
        <v/>
      </c>
      <c r="E81" s="20">
        <f>IF(A81&gt;'Simulateur Amortissement'!B7*12,"",'Simulateur Amortissement'!B13)</f>
        <v/>
      </c>
      <c r="F81" s="20">
        <f>IF(B81="","",B81+E81)</f>
        <v/>
      </c>
      <c r="G81" s="20">
        <f>G80-D81</f>
        <v/>
      </c>
    </row>
    <row r="82">
      <c r="A82" s="17" t="n">
        <v>79</v>
      </c>
      <c r="B82" s="18">
        <f>IF(A82&gt;'Simulateur Amortissement'!B7*12,"",'Simulateur Amortissement'!B12)</f>
        <v/>
      </c>
      <c r="C82" s="18">
        <f>G81*'Simulateur Amortissement'!B6/12</f>
        <v/>
      </c>
      <c r="D82" s="18">
        <f>IF(B82="","",B82-C82)</f>
        <v/>
      </c>
      <c r="E82" s="18">
        <f>IF(A82&gt;'Simulateur Amortissement'!B7*12,"",'Simulateur Amortissement'!B13)</f>
        <v/>
      </c>
      <c r="F82" s="18">
        <f>IF(B82="","",B82+E82)</f>
        <v/>
      </c>
      <c r="G82" s="18">
        <f>G81-D82</f>
        <v/>
      </c>
    </row>
    <row r="83">
      <c r="A83" s="19" t="n">
        <v>80</v>
      </c>
      <c r="B83" s="20">
        <f>IF(A83&gt;'Simulateur Amortissement'!B7*12,"",'Simulateur Amortissement'!B12)</f>
        <v/>
      </c>
      <c r="C83" s="20">
        <f>G82*'Simulateur Amortissement'!B6/12</f>
        <v/>
      </c>
      <c r="D83" s="20">
        <f>IF(B83="","",B83-C83)</f>
        <v/>
      </c>
      <c r="E83" s="20">
        <f>IF(A83&gt;'Simulateur Amortissement'!B7*12,"",'Simulateur Amortissement'!B13)</f>
        <v/>
      </c>
      <c r="F83" s="20">
        <f>IF(B83="","",B83+E83)</f>
        <v/>
      </c>
      <c r="G83" s="20">
        <f>G82-D83</f>
        <v/>
      </c>
    </row>
    <row r="84">
      <c r="A84" s="17" t="n">
        <v>81</v>
      </c>
      <c r="B84" s="18">
        <f>IF(A84&gt;'Simulateur Amortissement'!B7*12,"",'Simulateur Amortissement'!B12)</f>
        <v/>
      </c>
      <c r="C84" s="18">
        <f>G83*'Simulateur Amortissement'!B6/12</f>
        <v/>
      </c>
      <c r="D84" s="18">
        <f>IF(B84="","",B84-C84)</f>
        <v/>
      </c>
      <c r="E84" s="18">
        <f>IF(A84&gt;'Simulateur Amortissement'!B7*12,"",'Simulateur Amortissement'!B13)</f>
        <v/>
      </c>
      <c r="F84" s="18">
        <f>IF(B84="","",B84+E84)</f>
        <v/>
      </c>
      <c r="G84" s="18">
        <f>G83-D84</f>
        <v/>
      </c>
    </row>
    <row r="85">
      <c r="A85" s="19" t="n">
        <v>82</v>
      </c>
      <c r="B85" s="20">
        <f>IF(A85&gt;'Simulateur Amortissement'!B7*12,"",'Simulateur Amortissement'!B12)</f>
        <v/>
      </c>
      <c r="C85" s="20">
        <f>G84*'Simulateur Amortissement'!B6/12</f>
        <v/>
      </c>
      <c r="D85" s="20">
        <f>IF(B85="","",B85-C85)</f>
        <v/>
      </c>
      <c r="E85" s="20">
        <f>IF(A85&gt;'Simulateur Amortissement'!B7*12,"",'Simulateur Amortissement'!B13)</f>
        <v/>
      </c>
      <c r="F85" s="20">
        <f>IF(B85="","",B85+E85)</f>
        <v/>
      </c>
      <c r="G85" s="20">
        <f>G84-D85</f>
        <v/>
      </c>
    </row>
    <row r="86">
      <c r="A86" s="17" t="n">
        <v>83</v>
      </c>
      <c r="B86" s="18">
        <f>IF(A86&gt;'Simulateur Amortissement'!B7*12,"",'Simulateur Amortissement'!B12)</f>
        <v/>
      </c>
      <c r="C86" s="18">
        <f>G85*'Simulateur Amortissement'!B6/12</f>
        <v/>
      </c>
      <c r="D86" s="18">
        <f>IF(B86="","",B86-C86)</f>
        <v/>
      </c>
      <c r="E86" s="18">
        <f>IF(A86&gt;'Simulateur Amortissement'!B7*12,"",'Simulateur Amortissement'!B13)</f>
        <v/>
      </c>
      <c r="F86" s="18">
        <f>IF(B86="","",B86+E86)</f>
        <v/>
      </c>
      <c r="G86" s="18">
        <f>G85-D86</f>
        <v/>
      </c>
    </row>
    <row r="87">
      <c r="A87" s="19" t="n">
        <v>84</v>
      </c>
      <c r="B87" s="20">
        <f>IF(A87&gt;'Simulateur Amortissement'!B7*12,"",'Simulateur Amortissement'!B12)</f>
        <v/>
      </c>
      <c r="C87" s="20">
        <f>G86*'Simulateur Amortissement'!B6/12</f>
        <v/>
      </c>
      <c r="D87" s="20">
        <f>IF(B87="","",B87-C87)</f>
        <v/>
      </c>
      <c r="E87" s="20">
        <f>IF(A87&gt;'Simulateur Amortissement'!B7*12,"",'Simulateur Amortissement'!B13)</f>
        <v/>
      </c>
      <c r="F87" s="20">
        <f>IF(B87="","",B87+E87)</f>
        <v/>
      </c>
      <c r="G87" s="20">
        <f>G86-D87</f>
        <v/>
      </c>
    </row>
    <row r="88">
      <c r="A88" s="17" t="n">
        <v>85</v>
      </c>
      <c r="B88" s="18">
        <f>IF(A88&gt;'Simulateur Amortissement'!B7*12,"",'Simulateur Amortissement'!B12)</f>
        <v/>
      </c>
      <c r="C88" s="18">
        <f>G87*'Simulateur Amortissement'!B6/12</f>
        <v/>
      </c>
      <c r="D88" s="18">
        <f>IF(B88="","",B88-C88)</f>
        <v/>
      </c>
      <c r="E88" s="18">
        <f>IF(A88&gt;'Simulateur Amortissement'!B7*12,"",'Simulateur Amortissement'!B13)</f>
        <v/>
      </c>
      <c r="F88" s="18">
        <f>IF(B88="","",B88+E88)</f>
        <v/>
      </c>
      <c r="G88" s="18">
        <f>G87-D88</f>
        <v/>
      </c>
    </row>
    <row r="89">
      <c r="A89" s="19" t="n">
        <v>86</v>
      </c>
      <c r="B89" s="20">
        <f>IF(A89&gt;'Simulateur Amortissement'!B7*12,"",'Simulateur Amortissement'!B12)</f>
        <v/>
      </c>
      <c r="C89" s="20">
        <f>G88*'Simulateur Amortissement'!B6/12</f>
        <v/>
      </c>
      <c r="D89" s="20">
        <f>IF(B89="","",B89-C89)</f>
        <v/>
      </c>
      <c r="E89" s="20">
        <f>IF(A89&gt;'Simulateur Amortissement'!B7*12,"",'Simulateur Amortissement'!B13)</f>
        <v/>
      </c>
      <c r="F89" s="20">
        <f>IF(B89="","",B89+E89)</f>
        <v/>
      </c>
      <c r="G89" s="20">
        <f>G88-D89</f>
        <v/>
      </c>
    </row>
    <row r="90">
      <c r="A90" s="17" t="n">
        <v>87</v>
      </c>
      <c r="B90" s="18">
        <f>IF(A90&gt;'Simulateur Amortissement'!B7*12,"",'Simulateur Amortissement'!B12)</f>
        <v/>
      </c>
      <c r="C90" s="18">
        <f>G89*'Simulateur Amortissement'!B6/12</f>
        <v/>
      </c>
      <c r="D90" s="18">
        <f>IF(B90="","",B90-C90)</f>
        <v/>
      </c>
      <c r="E90" s="18">
        <f>IF(A90&gt;'Simulateur Amortissement'!B7*12,"",'Simulateur Amortissement'!B13)</f>
        <v/>
      </c>
      <c r="F90" s="18">
        <f>IF(B90="","",B90+E90)</f>
        <v/>
      </c>
      <c r="G90" s="18">
        <f>G89-D90</f>
        <v/>
      </c>
    </row>
    <row r="91">
      <c r="A91" s="19" t="n">
        <v>88</v>
      </c>
      <c r="B91" s="20">
        <f>IF(A91&gt;'Simulateur Amortissement'!B7*12,"",'Simulateur Amortissement'!B12)</f>
        <v/>
      </c>
      <c r="C91" s="20">
        <f>G90*'Simulateur Amortissement'!B6/12</f>
        <v/>
      </c>
      <c r="D91" s="20">
        <f>IF(B91="","",B91-C91)</f>
        <v/>
      </c>
      <c r="E91" s="20">
        <f>IF(A91&gt;'Simulateur Amortissement'!B7*12,"",'Simulateur Amortissement'!B13)</f>
        <v/>
      </c>
      <c r="F91" s="20">
        <f>IF(B91="","",B91+E91)</f>
        <v/>
      </c>
      <c r="G91" s="20">
        <f>G90-D91</f>
        <v/>
      </c>
    </row>
    <row r="92">
      <c r="A92" s="17" t="n">
        <v>89</v>
      </c>
      <c r="B92" s="18">
        <f>IF(A92&gt;'Simulateur Amortissement'!B7*12,"",'Simulateur Amortissement'!B12)</f>
        <v/>
      </c>
      <c r="C92" s="18">
        <f>G91*'Simulateur Amortissement'!B6/12</f>
        <v/>
      </c>
      <c r="D92" s="18">
        <f>IF(B92="","",B92-C92)</f>
        <v/>
      </c>
      <c r="E92" s="18">
        <f>IF(A92&gt;'Simulateur Amortissement'!B7*12,"",'Simulateur Amortissement'!B13)</f>
        <v/>
      </c>
      <c r="F92" s="18">
        <f>IF(B92="","",B92+E92)</f>
        <v/>
      </c>
      <c r="G92" s="18">
        <f>G91-D92</f>
        <v/>
      </c>
    </row>
    <row r="93">
      <c r="A93" s="19" t="n">
        <v>90</v>
      </c>
      <c r="B93" s="20">
        <f>IF(A93&gt;'Simulateur Amortissement'!B7*12,"",'Simulateur Amortissement'!B12)</f>
        <v/>
      </c>
      <c r="C93" s="20">
        <f>G92*'Simulateur Amortissement'!B6/12</f>
        <v/>
      </c>
      <c r="D93" s="20">
        <f>IF(B93="","",B93-C93)</f>
        <v/>
      </c>
      <c r="E93" s="20">
        <f>IF(A93&gt;'Simulateur Amortissement'!B7*12,"",'Simulateur Amortissement'!B13)</f>
        <v/>
      </c>
      <c r="F93" s="20">
        <f>IF(B93="","",B93+E93)</f>
        <v/>
      </c>
      <c r="G93" s="20">
        <f>G92-D93</f>
        <v/>
      </c>
    </row>
    <row r="94">
      <c r="A94" s="17" t="n">
        <v>91</v>
      </c>
      <c r="B94" s="18">
        <f>IF(A94&gt;'Simulateur Amortissement'!B7*12,"",'Simulateur Amortissement'!B12)</f>
        <v/>
      </c>
      <c r="C94" s="18">
        <f>G93*'Simulateur Amortissement'!B6/12</f>
        <v/>
      </c>
      <c r="D94" s="18">
        <f>IF(B94="","",B94-C94)</f>
        <v/>
      </c>
      <c r="E94" s="18">
        <f>IF(A94&gt;'Simulateur Amortissement'!B7*12,"",'Simulateur Amortissement'!B13)</f>
        <v/>
      </c>
      <c r="F94" s="18">
        <f>IF(B94="","",B94+E94)</f>
        <v/>
      </c>
      <c r="G94" s="18">
        <f>G93-D94</f>
        <v/>
      </c>
    </row>
    <row r="95">
      <c r="A95" s="19" t="n">
        <v>92</v>
      </c>
      <c r="B95" s="20">
        <f>IF(A95&gt;'Simulateur Amortissement'!B7*12,"",'Simulateur Amortissement'!B12)</f>
        <v/>
      </c>
      <c r="C95" s="20">
        <f>G94*'Simulateur Amortissement'!B6/12</f>
        <v/>
      </c>
      <c r="D95" s="20">
        <f>IF(B95="","",B95-C95)</f>
        <v/>
      </c>
      <c r="E95" s="20">
        <f>IF(A95&gt;'Simulateur Amortissement'!B7*12,"",'Simulateur Amortissement'!B13)</f>
        <v/>
      </c>
      <c r="F95" s="20">
        <f>IF(B95="","",B95+E95)</f>
        <v/>
      </c>
      <c r="G95" s="20">
        <f>G94-D95</f>
        <v/>
      </c>
    </row>
    <row r="96">
      <c r="A96" s="17" t="n">
        <v>93</v>
      </c>
      <c r="B96" s="18">
        <f>IF(A96&gt;'Simulateur Amortissement'!B7*12,"",'Simulateur Amortissement'!B12)</f>
        <v/>
      </c>
      <c r="C96" s="18">
        <f>G95*'Simulateur Amortissement'!B6/12</f>
        <v/>
      </c>
      <c r="D96" s="18">
        <f>IF(B96="","",B96-C96)</f>
        <v/>
      </c>
      <c r="E96" s="18">
        <f>IF(A96&gt;'Simulateur Amortissement'!B7*12,"",'Simulateur Amortissement'!B13)</f>
        <v/>
      </c>
      <c r="F96" s="18">
        <f>IF(B96="","",B96+E96)</f>
        <v/>
      </c>
      <c r="G96" s="18">
        <f>G95-D96</f>
        <v/>
      </c>
    </row>
    <row r="97">
      <c r="A97" s="19" t="n">
        <v>94</v>
      </c>
      <c r="B97" s="20">
        <f>IF(A97&gt;'Simulateur Amortissement'!B7*12,"",'Simulateur Amortissement'!B12)</f>
        <v/>
      </c>
      <c r="C97" s="20">
        <f>G96*'Simulateur Amortissement'!B6/12</f>
        <v/>
      </c>
      <c r="D97" s="20">
        <f>IF(B97="","",B97-C97)</f>
        <v/>
      </c>
      <c r="E97" s="20">
        <f>IF(A97&gt;'Simulateur Amortissement'!B7*12,"",'Simulateur Amortissement'!B13)</f>
        <v/>
      </c>
      <c r="F97" s="20">
        <f>IF(B97="","",B97+E97)</f>
        <v/>
      </c>
      <c r="G97" s="20">
        <f>G96-D97</f>
        <v/>
      </c>
    </row>
    <row r="98">
      <c r="A98" s="17" t="n">
        <v>95</v>
      </c>
      <c r="B98" s="18">
        <f>IF(A98&gt;'Simulateur Amortissement'!B7*12,"",'Simulateur Amortissement'!B12)</f>
        <v/>
      </c>
      <c r="C98" s="18">
        <f>G97*'Simulateur Amortissement'!B6/12</f>
        <v/>
      </c>
      <c r="D98" s="18">
        <f>IF(B98="","",B98-C98)</f>
        <v/>
      </c>
      <c r="E98" s="18">
        <f>IF(A98&gt;'Simulateur Amortissement'!B7*12,"",'Simulateur Amortissement'!B13)</f>
        <v/>
      </c>
      <c r="F98" s="18">
        <f>IF(B98="","",B98+E98)</f>
        <v/>
      </c>
      <c r="G98" s="18">
        <f>G97-D98</f>
        <v/>
      </c>
    </row>
    <row r="99">
      <c r="A99" s="19" t="n">
        <v>96</v>
      </c>
      <c r="B99" s="20">
        <f>IF(A99&gt;'Simulateur Amortissement'!B7*12,"",'Simulateur Amortissement'!B12)</f>
        <v/>
      </c>
      <c r="C99" s="20">
        <f>G98*'Simulateur Amortissement'!B6/12</f>
        <v/>
      </c>
      <c r="D99" s="20">
        <f>IF(B99="","",B99-C99)</f>
        <v/>
      </c>
      <c r="E99" s="20">
        <f>IF(A99&gt;'Simulateur Amortissement'!B7*12,"",'Simulateur Amortissement'!B13)</f>
        <v/>
      </c>
      <c r="F99" s="20">
        <f>IF(B99="","",B99+E99)</f>
        <v/>
      </c>
      <c r="G99" s="20">
        <f>G98-D99</f>
        <v/>
      </c>
    </row>
    <row r="100">
      <c r="A100" s="17" t="n">
        <v>97</v>
      </c>
      <c r="B100" s="18">
        <f>IF(A100&gt;'Simulateur Amortissement'!B7*12,"",'Simulateur Amortissement'!B12)</f>
        <v/>
      </c>
      <c r="C100" s="18">
        <f>G99*'Simulateur Amortissement'!B6/12</f>
        <v/>
      </c>
      <c r="D100" s="18">
        <f>IF(B100="","",B100-C100)</f>
        <v/>
      </c>
      <c r="E100" s="18">
        <f>IF(A100&gt;'Simulateur Amortissement'!B7*12,"",'Simulateur Amortissement'!B13)</f>
        <v/>
      </c>
      <c r="F100" s="18">
        <f>IF(B100="","",B100+E100)</f>
        <v/>
      </c>
      <c r="G100" s="18">
        <f>G99-D100</f>
        <v/>
      </c>
    </row>
    <row r="101">
      <c r="A101" s="19" t="n">
        <v>98</v>
      </c>
      <c r="B101" s="20">
        <f>IF(A101&gt;'Simulateur Amortissement'!B7*12,"",'Simulateur Amortissement'!B12)</f>
        <v/>
      </c>
      <c r="C101" s="20">
        <f>G100*'Simulateur Amortissement'!B6/12</f>
        <v/>
      </c>
      <c r="D101" s="20">
        <f>IF(B101="","",B101-C101)</f>
        <v/>
      </c>
      <c r="E101" s="20">
        <f>IF(A101&gt;'Simulateur Amortissement'!B7*12,"",'Simulateur Amortissement'!B13)</f>
        <v/>
      </c>
      <c r="F101" s="20">
        <f>IF(B101="","",B101+E101)</f>
        <v/>
      </c>
      <c r="G101" s="20">
        <f>G100-D101</f>
        <v/>
      </c>
    </row>
    <row r="102">
      <c r="A102" s="17" t="n">
        <v>99</v>
      </c>
      <c r="B102" s="18">
        <f>IF(A102&gt;'Simulateur Amortissement'!B7*12,"",'Simulateur Amortissement'!B12)</f>
        <v/>
      </c>
      <c r="C102" s="18">
        <f>G101*'Simulateur Amortissement'!B6/12</f>
        <v/>
      </c>
      <c r="D102" s="18">
        <f>IF(B102="","",B102-C102)</f>
        <v/>
      </c>
      <c r="E102" s="18">
        <f>IF(A102&gt;'Simulateur Amortissement'!B7*12,"",'Simulateur Amortissement'!B13)</f>
        <v/>
      </c>
      <c r="F102" s="18">
        <f>IF(B102="","",B102+E102)</f>
        <v/>
      </c>
      <c r="G102" s="18">
        <f>G101-D102</f>
        <v/>
      </c>
    </row>
    <row r="103">
      <c r="A103" s="19" t="n">
        <v>100</v>
      </c>
      <c r="B103" s="20">
        <f>IF(A103&gt;'Simulateur Amortissement'!B7*12,"",'Simulateur Amortissement'!B12)</f>
        <v/>
      </c>
      <c r="C103" s="20">
        <f>G102*'Simulateur Amortissement'!B6/12</f>
        <v/>
      </c>
      <c r="D103" s="20">
        <f>IF(B103="","",B103-C103)</f>
        <v/>
      </c>
      <c r="E103" s="20">
        <f>IF(A103&gt;'Simulateur Amortissement'!B7*12,"",'Simulateur Amortissement'!B13)</f>
        <v/>
      </c>
      <c r="F103" s="20">
        <f>IF(B103="","",B103+E103)</f>
        <v/>
      </c>
      <c r="G103" s="20">
        <f>G102-D103</f>
        <v/>
      </c>
    </row>
    <row r="104">
      <c r="A104" s="17" t="n">
        <v>101</v>
      </c>
      <c r="B104" s="18">
        <f>IF(A104&gt;'Simulateur Amortissement'!B7*12,"",'Simulateur Amortissement'!B12)</f>
        <v/>
      </c>
      <c r="C104" s="18">
        <f>G103*'Simulateur Amortissement'!B6/12</f>
        <v/>
      </c>
      <c r="D104" s="18">
        <f>IF(B104="","",B104-C104)</f>
        <v/>
      </c>
      <c r="E104" s="18">
        <f>IF(A104&gt;'Simulateur Amortissement'!B7*12,"",'Simulateur Amortissement'!B13)</f>
        <v/>
      </c>
      <c r="F104" s="18">
        <f>IF(B104="","",B104+E104)</f>
        <v/>
      </c>
      <c r="G104" s="18">
        <f>G103-D104</f>
        <v/>
      </c>
    </row>
    <row r="105">
      <c r="A105" s="19" t="n">
        <v>102</v>
      </c>
      <c r="B105" s="20">
        <f>IF(A105&gt;'Simulateur Amortissement'!B7*12,"",'Simulateur Amortissement'!B12)</f>
        <v/>
      </c>
      <c r="C105" s="20">
        <f>G104*'Simulateur Amortissement'!B6/12</f>
        <v/>
      </c>
      <c r="D105" s="20">
        <f>IF(B105="","",B105-C105)</f>
        <v/>
      </c>
      <c r="E105" s="20">
        <f>IF(A105&gt;'Simulateur Amortissement'!B7*12,"",'Simulateur Amortissement'!B13)</f>
        <v/>
      </c>
      <c r="F105" s="20">
        <f>IF(B105="","",B105+E105)</f>
        <v/>
      </c>
      <c r="G105" s="20">
        <f>G104-D105</f>
        <v/>
      </c>
    </row>
    <row r="106">
      <c r="A106" s="17" t="n">
        <v>103</v>
      </c>
      <c r="B106" s="18">
        <f>IF(A106&gt;'Simulateur Amortissement'!B7*12,"",'Simulateur Amortissement'!B12)</f>
        <v/>
      </c>
      <c r="C106" s="18">
        <f>G105*'Simulateur Amortissement'!B6/12</f>
        <v/>
      </c>
      <c r="D106" s="18">
        <f>IF(B106="","",B106-C106)</f>
        <v/>
      </c>
      <c r="E106" s="18">
        <f>IF(A106&gt;'Simulateur Amortissement'!B7*12,"",'Simulateur Amortissement'!B13)</f>
        <v/>
      </c>
      <c r="F106" s="18">
        <f>IF(B106="","",B106+E106)</f>
        <v/>
      </c>
      <c r="G106" s="18">
        <f>G105-D106</f>
        <v/>
      </c>
    </row>
    <row r="107">
      <c r="A107" s="19" t="n">
        <v>104</v>
      </c>
      <c r="B107" s="20">
        <f>IF(A107&gt;'Simulateur Amortissement'!B7*12,"",'Simulateur Amortissement'!B12)</f>
        <v/>
      </c>
      <c r="C107" s="20">
        <f>G106*'Simulateur Amortissement'!B6/12</f>
        <v/>
      </c>
      <c r="D107" s="20">
        <f>IF(B107="","",B107-C107)</f>
        <v/>
      </c>
      <c r="E107" s="20">
        <f>IF(A107&gt;'Simulateur Amortissement'!B7*12,"",'Simulateur Amortissement'!B13)</f>
        <v/>
      </c>
      <c r="F107" s="20">
        <f>IF(B107="","",B107+E107)</f>
        <v/>
      </c>
      <c r="G107" s="20">
        <f>G106-D107</f>
        <v/>
      </c>
    </row>
    <row r="108">
      <c r="A108" s="17" t="n">
        <v>105</v>
      </c>
      <c r="B108" s="18">
        <f>IF(A108&gt;'Simulateur Amortissement'!B7*12,"",'Simulateur Amortissement'!B12)</f>
        <v/>
      </c>
      <c r="C108" s="18">
        <f>G107*'Simulateur Amortissement'!B6/12</f>
        <v/>
      </c>
      <c r="D108" s="18">
        <f>IF(B108="","",B108-C108)</f>
        <v/>
      </c>
      <c r="E108" s="18">
        <f>IF(A108&gt;'Simulateur Amortissement'!B7*12,"",'Simulateur Amortissement'!B13)</f>
        <v/>
      </c>
      <c r="F108" s="18">
        <f>IF(B108="","",B108+E108)</f>
        <v/>
      </c>
      <c r="G108" s="18">
        <f>G107-D108</f>
        <v/>
      </c>
    </row>
    <row r="109">
      <c r="A109" s="19" t="n">
        <v>106</v>
      </c>
      <c r="B109" s="20">
        <f>IF(A109&gt;'Simulateur Amortissement'!B7*12,"",'Simulateur Amortissement'!B12)</f>
        <v/>
      </c>
      <c r="C109" s="20">
        <f>G108*'Simulateur Amortissement'!B6/12</f>
        <v/>
      </c>
      <c r="D109" s="20">
        <f>IF(B109="","",B109-C109)</f>
        <v/>
      </c>
      <c r="E109" s="20">
        <f>IF(A109&gt;'Simulateur Amortissement'!B7*12,"",'Simulateur Amortissement'!B13)</f>
        <v/>
      </c>
      <c r="F109" s="20">
        <f>IF(B109="","",B109+E109)</f>
        <v/>
      </c>
      <c r="G109" s="20">
        <f>G108-D109</f>
        <v/>
      </c>
    </row>
    <row r="110">
      <c r="A110" s="17" t="n">
        <v>107</v>
      </c>
      <c r="B110" s="18">
        <f>IF(A110&gt;'Simulateur Amortissement'!B7*12,"",'Simulateur Amortissement'!B12)</f>
        <v/>
      </c>
      <c r="C110" s="18">
        <f>G109*'Simulateur Amortissement'!B6/12</f>
        <v/>
      </c>
      <c r="D110" s="18">
        <f>IF(B110="","",B110-C110)</f>
        <v/>
      </c>
      <c r="E110" s="18">
        <f>IF(A110&gt;'Simulateur Amortissement'!B7*12,"",'Simulateur Amortissement'!B13)</f>
        <v/>
      </c>
      <c r="F110" s="18">
        <f>IF(B110="","",B110+E110)</f>
        <v/>
      </c>
      <c r="G110" s="18">
        <f>G109-D110</f>
        <v/>
      </c>
    </row>
    <row r="111">
      <c r="A111" s="19" t="n">
        <v>108</v>
      </c>
      <c r="B111" s="20">
        <f>IF(A111&gt;'Simulateur Amortissement'!B7*12,"",'Simulateur Amortissement'!B12)</f>
        <v/>
      </c>
      <c r="C111" s="20">
        <f>G110*'Simulateur Amortissement'!B6/12</f>
        <v/>
      </c>
      <c r="D111" s="20">
        <f>IF(B111="","",B111-C111)</f>
        <v/>
      </c>
      <c r="E111" s="20">
        <f>IF(A111&gt;'Simulateur Amortissement'!B7*12,"",'Simulateur Amortissement'!B13)</f>
        <v/>
      </c>
      <c r="F111" s="20">
        <f>IF(B111="","",B111+E111)</f>
        <v/>
      </c>
      <c r="G111" s="20">
        <f>G110-D111</f>
        <v/>
      </c>
    </row>
    <row r="112">
      <c r="A112" s="17" t="n">
        <v>109</v>
      </c>
      <c r="B112" s="18">
        <f>IF(A112&gt;'Simulateur Amortissement'!B7*12,"",'Simulateur Amortissement'!B12)</f>
        <v/>
      </c>
      <c r="C112" s="18">
        <f>G111*'Simulateur Amortissement'!B6/12</f>
        <v/>
      </c>
      <c r="D112" s="18">
        <f>IF(B112="","",B112-C112)</f>
        <v/>
      </c>
      <c r="E112" s="18">
        <f>IF(A112&gt;'Simulateur Amortissement'!B7*12,"",'Simulateur Amortissement'!B13)</f>
        <v/>
      </c>
      <c r="F112" s="18">
        <f>IF(B112="","",B112+E112)</f>
        <v/>
      </c>
      <c r="G112" s="18">
        <f>G111-D112</f>
        <v/>
      </c>
    </row>
    <row r="113">
      <c r="A113" s="19" t="n">
        <v>110</v>
      </c>
      <c r="B113" s="20">
        <f>IF(A113&gt;'Simulateur Amortissement'!B7*12,"",'Simulateur Amortissement'!B12)</f>
        <v/>
      </c>
      <c r="C113" s="20">
        <f>G112*'Simulateur Amortissement'!B6/12</f>
        <v/>
      </c>
      <c r="D113" s="20">
        <f>IF(B113="","",B113-C113)</f>
        <v/>
      </c>
      <c r="E113" s="20">
        <f>IF(A113&gt;'Simulateur Amortissement'!B7*12,"",'Simulateur Amortissement'!B13)</f>
        <v/>
      </c>
      <c r="F113" s="20">
        <f>IF(B113="","",B113+E113)</f>
        <v/>
      </c>
      <c r="G113" s="20">
        <f>G112-D113</f>
        <v/>
      </c>
    </row>
    <row r="114">
      <c r="A114" s="17" t="n">
        <v>111</v>
      </c>
      <c r="B114" s="18">
        <f>IF(A114&gt;'Simulateur Amortissement'!B7*12,"",'Simulateur Amortissement'!B12)</f>
        <v/>
      </c>
      <c r="C114" s="18">
        <f>G113*'Simulateur Amortissement'!B6/12</f>
        <v/>
      </c>
      <c r="D114" s="18">
        <f>IF(B114="","",B114-C114)</f>
        <v/>
      </c>
      <c r="E114" s="18">
        <f>IF(A114&gt;'Simulateur Amortissement'!B7*12,"",'Simulateur Amortissement'!B13)</f>
        <v/>
      </c>
      <c r="F114" s="18">
        <f>IF(B114="","",B114+E114)</f>
        <v/>
      </c>
      <c r="G114" s="18">
        <f>G113-D114</f>
        <v/>
      </c>
    </row>
    <row r="115">
      <c r="A115" s="19" t="n">
        <v>112</v>
      </c>
      <c r="B115" s="20">
        <f>IF(A115&gt;'Simulateur Amortissement'!B7*12,"",'Simulateur Amortissement'!B12)</f>
        <v/>
      </c>
      <c r="C115" s="20">
        <f>G114*'Simulateur Amortissement'!B6/12</f>
        <v/>
      </c>
      <c r="D115" s="20">
        <f>IF(B115="","",B115-C115)</f>
        <v/>
      </c>
      <c r="E115" s="20">
        <f>IF(A115&gt;'Simulateur Amortissement'!B7*12,"",'Simulateur Amortissement'!B13)</f>
        <v/>
      </c>
      <c r="F115" s="20">
        <f>IF(B115="","",B115+E115)</f>
        <v/>
      </c>
      <c r="G115" s="20">
        <f>G114-D115</f>
        <v/>
      </c>
    </row>
    <row r="116">
      <c r="A116" s="17" t="n">
        <v>113</v>
      </c>
      <c r="B116" s="18">
        <f>IF(A116&gt;'Simulateur Amortissement'!B7*12,"",'Simulateur Amortissement'!B12)</f>
        <v/>
      </c>
      <c r="C116" s="18">
        <f>G115*'Simulateur Amortissement'!B6/12</f>
        <v/>
      </c>
      <c r="D116" s="18">
        <f>IF(B116="","",B116-C116)</f>
        <v/>
      </c>
      <c r="E116" s="18">
        <f>IF(A116&gt;'Simulateur Amortissement'!B7*12,"",'Simulateur Amortissement'!B13)</f>
        <v/>
      </c>
      <c r="F116" s="18">
        <f>IF(B116="","",B116+E116)</f>
        <v/>
      </c>
      <c r="G116" s="18">
        <f>G115-D116</f>
        <v/>
      </c>
    </row>
    <row r="117">
      <c r="A117" s="19" t="n">
        <v>114</v>
      </c>
      <c r="B117" s="20">
        <f>IF(A117&gt;'Simulateur Amortissement'!B7*12,"",'Simulateur Amortissement'!B12)</f>
        <v/>
      </c>
      <c r="C117" s="20">
        <f>G116*'Simulateur Amortissement'!B6/12</f>
        <v/>
      </c>
      <c r="D117" s="20">
        <f>IF(B117="","",B117-C117)</f>
        <v/>
      </c>
      <c r="E117" s="20">
        <f>IF(A117&gt;'Simulateur Amortissement'!B7*12,"",'Simulateur Amortissement'!B13)</f>
        <v/>
      </c>
      <c r="F117" s="20">
        <f>IF(B117="","",B117+E117)</f>
        <v/>
      </c>
      <c r="G117" s="20">
        <f>G116-D117</f>
        <v/>
      </c>
    </row>
    <row r="118">
      <c r="A118" s="17" t="n">
        <v>115</v>
      </c>
      <c r="B118" s="18">
        <f>IF(A118&gt;'Simulateur Amortissement'!B7*12,"",'Simulateur Amortissement'!B12)</f>
        <v/>
      </c>
      <c r="C118" s="18">
        <f>G117*'Simulateur Amortissement'!B6/12</f>
        <v/>
      </c>
      <c r="D118" s="18">
        <f>IF(B118="","",B118-C118)</f>
        <v/>
      </c>
      <c r="E118" s="18">
        <f>IF(A118&gt;'Simulateur Amortissement'!B7*12,"",'Simulateur Amortissement'!B13)</f>
        <v/>
      </c>
      <c r="F118" s="18">
        <f>IF(B118="","",B118+E118)</f>
        <v/>
      </c>
      <c r="G118" s="18">
        <f>G117-D118</f>
        <v/>
      </c>
    </row>
    <row r="119">
      <c r="A119" s="19" t="n">
        <v>116</v>
      </c>
      <c r="B119" s="20">
        <f>IF(A119&gt;'Simulateur Amortissement'!B7*12,"",'Simulateur Amortissement'!B12)</f>
        <v/>
      </c>
      <c r="C119" s="20">
        <f>G118*'Simulateur Amortissement'!B6/12</f>
        <v/>
      </c>
      <c r="D119" s="20">
        <f>IF(B119="","",B119-C119)</f>
        <v/>
      </c>
      <c r="E119" s="20">
        <f>IF(A119&gt;'Simulateur Amortissement'!B7*12,"",'Simulateur Amortissement'!B13)</f>
        <v/>
      </c>
      <c r="F119" s="20">
        <f>IF(B119="","",B119+E119)</f>
        <v/>
      </c>
      <c r="G119" s="20">
        <f>G118-D119</f>
        <v/>
      </c>
    </row>
    <row r="120">
      <c r="A120" s="17" t="n">
        <v>117</v>
      </c>
      <c r="B120" s="18">
        <f>IF(A120&gt;'Simulateur Amortissement'!B7*12,"",'Simulateur Amortissement'!B12)</f>
        <v/>
      </c>
      <c r="C120" s="18">
        <f>G119*'Simulateur Amortissement'!B6/12</f>
        <v/>
      </c>
      <c r="D120" s="18">
        <f>IF(B120="","",B120-C120)</f>
        <v/>
      </c>
      <c r="E120" s="18">
        <f>IF(A120&gt;'Simulateur Amortissement'!B7*12,"",'Simulateur Amortissement'!B13)</f>
        <v/>
      </c>
      <c r="F120" s="18">
        <f>IF(B120="","",B120+E120)</f>
        <v/>
      </c>
      <c r="G120" s="18">
        <f>G119-D120</f>
        <v/>
      </c>
    </row>
    <row r="121">
      <c r="A121" s="19" t="n">
        <v>118</v>
      </c>
      <c r="B121" s="20">
        <f>IF(A121&gt;'Simulateur Amortissement'!B7*12,"",'Simulateur Amortissement'!B12)</f>
        <v/>
      </c>
      <c r="C121" s="20">
        <f>G120*'Simulateur Amortissement'!B6/12</f>
        <v/>
      </c>
      <c r="D121" s="20">
        <f>IF(B121="","",B121-C121)</f>
        <v/>
      </c>
      <c r="E121" s="20">
        <f>IF(A121&gt;'Simulateur Amortissement'!B7*12,"",'Simulateur Amortissement'!B13)</f>
        <v/>
      </c>
      <c r="F121" s="20">
        <f>IF(B121="","",B121+E121)</f>
        <v/>
      </c>
      <c r="G121" s="20">
        <f>G120-D121</f>
        <v/>
      </c>
    </row>
    <row r="122">
      <c r="A122" s="17" t="n">
        <v>119</v>
      </c>
      <c r="B122" s="18">
        <f>IF(A122&gt;'Simulateur Amortissement'!B7*12,"",'Simulateur Amortissement'!B12)</f>
        <v/>
      </c>
      <c r="C122" s="18">
        <f>G121*'Simulateur Amortissement'!B6/12</f>
        <v/>
      </c>
      <c r="D122" s="18">
        <f>IF(B122="","",B122-C122)</f>
        <v/>
      </c>
      <c r="E122" s="18">
        <f>IF(A122&gt;'Simulateur Amortissement'!B7*12,"",'Simulateur Amortissement'!B13)</f>
        <v/>
      </c>
      <c r="F122" s="18">
        <f>IF(B122="","",B122+E122)</f>
        <v/>
      </c>
      <c r="G122" s="18">
        <f>G121-D122</f>
        <v/>
      </c>
    </row>
    <row r="123">
      <c r="A123" s="19" t="n">
        <v>120</v>
      </c>
      <c r="B123" s="20">
        <f>IF(A123&gt;'Simulateur Amortissement'!B7*12,"",'Simulateur Amortissement'!B12)</f>
        <v/>
      </c>
      <c r="C123" s="20">
        <f>G122*'Simulateur Amortissement'!B6/12</f>
        <v/>
      </c>
      <c r="D123" s="20">
        <f>IF(B123="","",B123-C123)</f>
        <v/>
      </c>
      <c r="E123" s="20">
        <f>IF(A123&gt;'Simulateur Amortissement'!B7*12,"",'Simulateur Amortissement'!B13)</f>
        <v/>
      </c>
      <c r="F123" s="20">
        <f>IF(B123="","",B123+E123)</f>
        <v/>
      </c>
      <c r="G123" s="20">
        <f>G122-D123</f>
        <v/>
      </c>
    </row>
    <row r="124">
      <c r="A124" s="17" t="n">
        <v>121</v>
      </c>
      <c r="B124" s="18">
        <f>IF(A124&gt;'Simulateur Amortissement'!B7*12,"",'Simulateur Amortissement'!B12)</f>
        <v/>
      </c>
      <c r="C124" s="18">
        <f>G123*'Simulateur Amortissement'!B6/12</f>
        <v/>
      </c>
      <c r="D124" s="18">
        <f>IF(B124="","",B124-C124)</f>
        <v/>
      </c>
      <c r="E124" s="18">
        <f>IF(A124&gt;'Simulateur Amortissement'!B7*12,"",'Simulateur Amortissement'!B13)</f>
        <v/>
      </c>
      <c r="F124" s="18">
        <f>IF(B124="","",B124+E124)</f>
        <v/>
      </c>
      <c r="G124" s="18">
        <f>G123-D124</f>
        <v/>
      </c>
    </row>
    <row r="125">
      <c r="A125" s="19" t="n">
        <v>122</v>
      </c>
      <c r="B125" s="20">
        <f>IF(A125&gt;'Simulateur Amortissement'!B7*12,"",'Simulateur Amortissement'!B12)</f>
        <v/>
      </c>
      <c r="C125" s="20">
        <f>G124*'Simulateur Amortissement'!B6/12</f>
        <v/>
      </c>
      <c r="D125" s="20">
        <f>IF(B125="","",B125-C125)</f>
        <v/>
      </c>
      <c r="E125" s="20">
        <f>IF(A125&gt;'Simulateur Amortissement'!B7*12,"",'Simulateur Amortissement'!B13)</f>
        <v/>
      </c>
      <c r="F125" s="20">
        <f>IF(B125="","",B125+E125)</f>
        <v/>
      </c>
      <c r="G125" s="20">
        <f>G124-D125</f>
        <v/>
      </c>
    </row>
    <row r="126">
      <c r="A126" s="17" t="n">
        <v>123</v>
      </c>
      <c r="B126" s="18">
        <f>IF(A126&gt;'Simulateur Amortissement'!B7*12,"",'Simulateur Amortissement'!B12)</f>
        <v/>
      </c>
      <c r="C126" s="18">
        <f>G125*'Simulateur Amortissement'!B6/12</f>
        <v/>
      </c>
      <c r="D126" s="18">
        <f>IF(B126="","",B126-C126)</f>
        <v/>
      </c>
      <c r="E126" s="18">
        <f>IF(A126&gt;'Simulateur Amortissement'!B7*12,"",'Simulateur Amortissement'!B13)</f>
        <v/>
      </c>
      <c r="F126" s="18">
        <f>IF(B126="","",B126+E126)</f>
        <v/>
      </c>
      <c r="G126" s="18">
        <f>G125-D126</f>
        <v/>
      </c>
    </row>
    <row r="127">
      <c r="A127" s="19" t="n">
        <v>124</v>
      </c>
      <c r="B127" s="20">
        <f>IF(A127&gt;'Simulateur Amortissement'!B7*12,"",'Simulateur Amortissement'!B12)</f>
        <v/>
      </c>
      <c r="C127" s="20">
        <f>G126*'Simulateur Amortissement'!B6/12</f>
        <v/>
      </c>
      <c r="D127" s="20">
        <f>IF(B127="","",B127-C127)</f>
        <v/>
      </c>
      <c r="E127" s="20">
        <f>IF(A127&gt;'Simulateur Amortissement'!B7*12,"",'Simulateur Amortissement'!B13)</f>
        <v/>
      </c>
      <c r="F127" s="20">
        <f>IF(B127="","",B127+E127)</f>
        <v/>
      </c>
      <c r="G127" s="20">
        <f>G126-D127</f>
        <v/>
      </c>
    </row>
    <row r="128">
      <c r="A128" s="17" t="n">
        <v>125</v>
      </c>
      <c r="B128" s="18">
        <f>IF(A128&gt;'Simulateur Amortissement'!B7*12,"",'Simulateur Amortissement'!B12)</f>
        <v/>
      </c>
      <c r="C128" s="18">
        <f>G127*'Simulateur Amortissement'!B6/12</f>
        <v/>
      </c>
      <c r="D128" s="18">
        <f>IF(B128="","",B128-C128)</f>
        <v/>
      </c>
      <c r="E128" s="18">
        <f>IF(A128&gt;'Simulateur Amortissement'!B7*12,"",'Simulateur Amortissement'!B13)</f>
        <v/>
      </c>
      <c r="F128" s="18">
        <f>IF(B128="","",B128+E128)</f>
        <v/>
      </c>
      <c r="G128" s="18">
        <f>G127-D128</f>
        <v/>
      </c>
    </row>
    <row r="129">
      <c r="A129" s="19" t="n">
        <v>126</v>
      </c>
      <c r="B129" s="20">
        <f>IF(A129&gt;'Simulateur Amortissement'!B7*12,"",'Simulateur Amortissement'!B12)</f>
        <v/>
      </c>
      <c r="C129" s="20">
        <f>G128*'Simulateur Amortissement'!B6/12</f>
        <v/>
      </c>
      <c r="D129" s="20">
        <f>IF(B129="","",B129-C129)</f>
        <v/>
      </c>
      <c r="E129" s="20">
        <f>IF(A129&gt;'Simulateur Amortissement'!B7*12,"",'Simulateur Amortissement'!B13)</f>
        <v/>
      </c>
      <c r="F129" s="20">
        <f>IF(B129="","",B129+E129)</f>
        <v/>
      </c>
      <c r="G129" s="20">
        <f>G128-D129</f>
        <v/>
      </c>
    </row>
    <row r="130">
      <c r="A130" s="17" t="n">
        <v>127</v>
      </c>
      <c r="B130" s="18">
        <f>IF(A130&gt;'Simulateur Amortissement'!B7*12,"",'Simulateur Amortissement'!B12)</f>
        <v/>
      </c>
      <c r="C130" s="18">
        <f>G129*'Simulateur Amortissement'!B6/12</f>
        <v/>
      </c>
      <c r="D130" s="18">
        <f>IF(B130="","",B130-C130)</f>
        <v/>
      </c>
      <c r="E130" s="18">
        <f>IF(A130&gt;'Simulateur Amortissement'!B7*12,"",'Simulateur Amortissement'!B13)</f>
        <v/>
      </c>
      <c r="F130" s="18">
        <f>IF(B130="","",B130+E130)</f>
        <v/>
      </c>
      <c r="G130" s="18">
        <f>G129-D130</f>
        <v/>
      </c>
    </row>
    <row r="131">
      <c r="A131" s="19" t="n">
        <v>128</v>
      </c>
      <c r="B131" s="20">
        <f>IF(A131&gt;'Simulateur Amortissement'!B7*12,"",'Simulateur Amortissement'!B12)</f>
        <v/>
      </c>
      <c r="C131" s="20">
        <f>G130*'Simulateur Amortissement'!B6/12</f>
        <v/>
      </c>
      <c r="D131" s="20">
        <f>IF(B131="","",B131-C131)</f>
        <v/>
      </c>
      <c r="E131" s="20">
        <f>IF(A131&gt;'Simulateur Amortissement'!B7*12,"",'Simulateur Amortissement'!B13)</f>
        <v/>
      </c>
      <c r="F131" s="20">
        <f>IF(B131="","",B131+E131)</f>
        <v/>
      </c>
      <c r="G131" s="20">
        <f>G130-D131</f>
        <v/>
      </c>
    </row>
    <row r="132">
      <c r="A132" s="17" t="n">
        <v>129</v>
      </c>
      <c r="B132" s="18">
        <f>IF(A132&gt;'Simulateur Amortissement'!B7*12,"",'Simulateur Amortissement'!B12)</f>
        <v/>
      </c>
      <c r="C132" s="18">
        <f>G131*'Simulateur Amortissement'!B6/12</f>
        <v/>
      </c>
      <c r="D132" s="18">
        <f>IF(B132="","",B132-C132)</f>
        <v/>
      </c>
      <c r="E132" s="18">
        <f>IF(A132&gt;'Simulateur Amortissement'!B7*12,"",'Simulateur Amortissement'!B13)</f>
        <v/>
      </c>
      <c r="F132" s="18">
        <f>IF(B132="","",B132+E132)</f>
        <v/>
      </c>
      <c r="G132" s="18">
        <f>G131-D132</f>
        <v/>
      </c>
    </row>
    <row r="133">
      <c r="A133" s="19" t="n">
        <v>130</v>
      </c>
      <c r="B133" s="20">
        <f>IF(A133&gt;'Simulateur Amortissement'!B7*12,"",'Simulateur Amortissement'!B12)</f>
        <v/>
      </c>
      <c r="C133" s="20">
        <f>G132*'Simulateur Amortissement'!B6/12</f>
        <v/>
      </c>
      <c r="D133" s="20">
        <f>IF(B133="","",B133-C133)</f>
        <v/>
      </c>
      <c r="E133" s="20">
        <f>IF(A133&gt;'Simulateur Amortissement'!B7*12,"",'Simulateur Amortissement'!B13)</f>
        <v/>
      </c>
      <c r="F133" s="20">
        <f>IF(B133="","",B133+E133)</f>
        <v/>
      </c>
      <c r="G133" s="20">
        <f>G132-D133</f>
        <v/>
      </c>
    </row>
    <row r="134">
      <c r="A134" s="17" t="n">
        <v>131</v>
      </c>
      <c r="B134" s="18">
        <f>IF(A134&gt;'Simulateur Amortissement'!B7*12,"",'Simulateur Amortissement'!B12)</f>
        <v/>
      </c>
      <c r="C134" s="18">
        <f>G133*'Simulateur Amortissement'!B6/12</f>
        <v/>
      </c>
      <c r="D134" s="18">
        <f>IF(B134="","",B134-C134)</f>
        <v/>
      </c>
      <c r="E134" s="18">
        <f>IF(A134&gt;'Simulateur Amortissement'!B7*12,"",'Simulateur Amortissement'!B13)</f>
        <v/>
      </c>
      <c r="F134" s="18">
        <f>IF(B134="","",B134+E134)</f>
        <v/>
      </c>
      <c r="G134" s="18">
        <f>G133-D134</f>
        <v/>
      </c>
    </row>
    <row r="135">
      <c r="A135" s="19" t="n">
        <v>132</v>
      </c>
      <c r="B135" s="20">
        <f>IF(A135&gt;'Simulateur Amortissement'!B7*12,"",'Simulateur Amortissement'!B12)</f>
        <v/>
      </c>
      <c r="C135" s="20">
        <f>G134*'Simulateur Amortissement'!B6/12</f>
        <v/>
      </c>
      <c r="D135" s="20">
        <f>IF(B135="","",B135-C135)</f>
        <v/>
      </c>
      <c r="E135" s="20">
        <f>IF(A135&gt;'Simulateur Amortissement'!B7*12,"",'Simulateur Amortissement'!B13)</f>
        <v/>
      </c>
      <c r="F135" s="20">
        <f>IF(B135="","",B135+E135)</f>
        <v/>
      </c>
      <c r="G135" s="20">
        <f>G134-D135</f>
        <v/>
      </c>
    </row>
    <row r="136">
      <c r="A136" s="17" t="n">
        <v>133</v>
      </c>
      <c r="B136" s="18">
        <f>IF(A136&gt;'Simulateur Amortissement'!B7*12,"",'Simulateur Amortissement'!B12)</f>
        <v/>
      </c>
      <c r="C136" s="18">
        <f>G135*'Simulateur Amortissement'!B6/12</f>
        <v/>
      </c>
      <c r="D136" s="18">
        <f>IF(B136="","",B136-C136)</f>
        <v/>
      </c>
      <c r="E136" s="18">
        <f>IF(A136&gt;'Simulateur Amortissement'!B7*12,"",'Simulateur Amortissement'!B13)</f>
        <v/>
      </c>
      <c r="F136" s="18">
        <f>IF(B136="","",B136+E136)</f>
        <v/>
      </c>
      <c r="G136" s="18">
        <f>G135-D136</f>
        <v/>
      </c>
    </row>
    <row r="137">
      <c r="A137" s="19" t="n">
        <v>134</v>
      </c>
      <c r="B137" s="20">
        <f>IF(A137&gt;'Simulateur Amortissement'!B7*12,"",'Simulateur Amortissement'!B12)</f>
        <v/>
      </c>
      <c r="C137" s="20">
        <f>G136*'Simulateur Amortissement'!B6/12</f>
        <v/>
      </c>
      <c r="D137" s="20">
        <f>IF(B137="","",B137-C137)</f>
        <v/>
      </c>
      <c r="E137" s="20">
        <f>IF(A137&gt;'Simulateur Amortissement'!B7*12,"",'Simulateur Amortissement'!B13)</f>
        <v/>
      </c>
      <c r="F137" s="20">
        <f>IF(B137="","",B137+E137)</f>
        <v/>
      </c>
      <c r="G137" s="20">
        <f>G136-D137</f>
        <v/>
      </c>
    </row>
    <row r="138">
      <c r="A138" s="17" t="n">
        <v>135</v>
      </c>
      <c r="B138" s="18">
        <f>IF(A138&gt;'Simulateur Amortissement'!B7*12,"",'Simulateur Amortissement'!B12)</f>
        <v/>
      </c>
      <c r="C138" s="18">
        <f>G137*'Simulateur Amortissement'!B6/12</f>
        <v/>
      </c>
      <c r="D138" s="18">
        <f>IF(B138="","",B138-C138)</f>
        <v/>
      </c>
      <c r="E138" s="18">
        <f>IF(A138&gt;'Simulateur Amortissement'!B7*12,"",'Simulateur Amortissement'!B13)</f>
        <v/>
      </c>
      <c r="F138" s="18">
        <f>IF(B138="","",B138+E138)</f>
        <v/>
      </c>
      <c r="G138" s="18">
        <f>G137-D138</f>
        <v/>
      </c>
    </row>
    <row r="139">
      <c r="A139" s="19" t="n">
        <v>136</v>
      </c>
      <c r="B139" s="20">
        <f>IF(A139&gt;'Simulateur Amortissement'!B7*12,"",'Simulateur Amortissement'!B12)</f>
        <v/>
      </c>
      <c r="C139" s="20">
        <f>G138*'Simulateur Amortissement'!B6/12</f>
        <v/>
      </c>
      <c r="D139" s="20">
        <f>IF(B139="","",B139-C139)</f>
        <v/>
      </c>
      <c r="E139" s="20">
        <f>IF(A139&gt;'Simulateur Amortissement'!B7*12,"",'Simulateur Amortissement'!B13)</f>
        <v/>
      </c>
      <c r="F139" s="20">
        <f>IF(B139="","",B139+E139)</f>
        <v/>
      </c>
      <c r="G139" s="20">
        <f>G138-D139</f>
        <v/>
      </c>
    </row>
    <row r="140">
      <c r="A140" s="17" t="n">
        <v>137</v>
      </c>
      <c r="B140" s="18">
        <f>IF(A140&gt;'Simulateur Amortissement'!B7*12,"",'Simulateur Amortissement'!B12)</f>
        <v/>
      </c>
      <c r="C140" s="18">
        <f>G139*'Simulateur Amortissement'!B6/12</f>
        <v/>
      </c>
      <c r="D140" s="18">
        <f>IF(B140="","",B140-C140)</f>
        <v/>
      </c>
      <c r="E140" s="18">
        <f>IF(A140&gt;'Simulateur Amortissement'!B7*12,"",'Simulateur Amortissement'!B13)</f>
        <v/>
      </c>
      <c r="F140" s="18">
        <f>IF(B140="","",B140+E140)</f>
        <v/>
      </c>
      <c r="G140" s="18">
        <f>G139-D140</f>
        <v/>
      </c>
    </row>
    <row r="141">
      <c r="A141" s="19" t="n">
        <v>138</v>
      </c>
      <c r="B141" s="20">
        <f>IF(A141&gt;'Simulateur Amortissement'!B7*12,"",'Simulateur Amortissement'!B12)</f>
        <v/>
      </c>
      <c r="C141" s="20">
        <f>G140*'Simulateur Amortissement'!B6/12</f>
        <v/>
      </c>
      <c r="D141" s="20">
        <f>IF(B141="","",B141-C141)</f>
        <v/>
      </c>
      <c r="E141" s="20">
        <f>IF(A141&gt;'Simulateur Amortissement'!B7*12,"",'Simulateur Amortissement'!B13)</f>
        <v/>
      </c>
      <c r="F141" s="20">
        <f>IF(B141="","",B141+E141)</f>
        <v/>
      </c>
      <c r="G141" s="20">
        <f>G140-D141</f>
        <v/>
      </c>
    </row>
    <row r="142">
      <c r="A142" s="17" t="n">
        <v>139</v>
      </c>
      <c r="B142" s="18">
        <f>IF(A142&gt;'Simulateur Amortissement'!B7*12,"",'Simulateur Amortissement'!B12)</f>
        <v/>
      </c>
      <c r="C142" s="18">
        <f>G141*'Simulateur Amortissement'!B6/12</f>
        <v/>
      </c>
      <c r="D142" s="18">
        <f>IF(B142="","",B142-C142)</f>
        <v/>
      </c>
      <c r="E142" s="18">
        <f>IF(A142&gt;'Simulateur Amortissement'!B7*12,"",'Simulateur Amortissement'!B13)</f>
        <v/>
      </c>
      <c r="F142" s="18">
        <f>IF(B142="","",B142+E142)</f>
        <v/>
      </c>
      <c r="G142" s="18">
        <f>G141-D142</f>
        <v/>
      </c>
    </row>
    <row r="143">
      <c r="A143" s="19" t="n">
        <v>140</v>
      </c>
      <c r="B143" s="20">
        <f>IF(A143&gt;'Simulateur Amortissement'!B7*12,"",'Simulateur Amortissement'!B12)</f>
        <v/>
      </c>
      <c r="C143" s="20">
        <f>G142*'Simulateur Amortissement'!B6/12</f>
        <v/>
      </c>
      <c r="D143" s="20">
        <f>IF(B143="","",B143-C143)</f>
        <v/>
      </c>
      <c r="E143" s="20">
        <f>IF(A143&gt;'Simulateur Amortissement'!B7*12,"",'Simulateur Amortissement'!B13)</f>
        <v/>
      </c>
      <c r="F143" s="20">
        <f>IF(B143="","",B143+E143)</f>
        <v/>
      </c>
      <c r="G143" s="20">
        <f>G142-D143</f>
        <v/>
      </c>
    </row>
    <row r="144">
      <c r="A144" s="17" t="n">
        <v>141</v>
      </c>
      <c r="B144" s="18">
        <f>IF(A144&gt;'Simulateur Amortissement'!B7*12,"",'Simulateur Amortissement'!B12)</f>
        <v/>
      </c>
      <c r="C144" s="18">
        <f>G143*'Simulateur Amortissement'!B6/12</f>
        <v/>
      </c>
      <c r="D144" s="18">
        <f>IF(B144="","",B144-C144)</f>
        <v/>
      </c>
      <c r="E144" s="18">
        <f>IF(A144&gt;'Simulateur Amortissement'!B7*12,"",'Simulateur Amortissement'!B13)</f>
        <v/>
      </c>
      <c r="F144" s="18">
        <f>IF(B144="","",B144+E144)</f>
        <v/>
      </c>
      <c r="G144" s="18">
        <f>G143-D144</f>
        <v/>
      </c>
    </row>
    <row r="145">
      <c r="A145" s="19" t="n">
        <v>142</v>
      </c>
      <c r="B145" s="20">
        <f>IF(A145&gt;'Simulateur Amortissement'!B7*12,"",'Simulateur Amortissement'!B12)</f>
        <v/>
      </c>
      <c r="C145" s="20">
        <f>G144*'Simulateur Amortissement'!B6/12</f>
        <v/>
      </c>
      <c r="D145" s="20">
        <f>IF(B145="","",B145-C145)</f>
        <v/>
      </c>
      <c r="E145" s="20">
        <f>IF(A145&gt;'Simulateur Amortissement'!B7*12,"",'Simulateur Amortissement'!B13)</f>
        <v/>
      </c>
      <c r="F145" s="20">
        <f>IF(B145="","",B145+E145)</f>
        <v/>
      </c>
      <c r="G145" s="20">
        <f>G144-D145</f>
        <v/>
      </c>
    </row>
    <row r="146">
      <c r="A146" s="17" t="n">
        <v>143</v>
      </c>
      <c r="B146" s="18">
        <f>IF(A146&gt;'Simulateur Amortissement'!B7*12,"",'Simulateur Amortissement'!B12)</f>
        <v/>
      </c>
      <c r="C146" s="18">
        <f>G145*'Simulateur Amortissement'!B6/12</f>
        <v/>
      </c>
      <c r="D146" s="18">
        <f>IF(B146="","",B146-C146)</f>
        <v/>
      </c>
      <c r="E146" s="18">
        <f>IF(A146&gt;'Simulateur Amortissement'!B7*12,"",'Simulateur Amortissement'!B13)</f>
        <v/>
      </c>
      <c r="F146" s="18">
        <f>IF(B146="","",B146+E146)</f>
        <v/>
      </c>
      <c r="G146" s="18">
        <f>G145-D146</f>
        <v/>
      </c>
    </row>
    <row r="147">
      <c r="A147" s="19" t="n">
        <v>144</v>
      </c>
      <c r="B147" s="20">
        <f>IF(A147&gt;'Simulateur Amortissement'!B7*12,"",'Simulateur Amortissement'!B12)</f>
        <v/>
      </c>
      <c r="C147" s="20">
        <f>G146*'Simulateur Amortissement'!B6/12</f>
        <v/>
      </c>
      <c r="D147" s="20">
        <f>IF(B147="","",B147-C147)</f>
        <v/>
      </c>
      <c r="E147" s="20">
        <f>IF(A147&gt;'Simulateur Amortissement'!B7*12,"",'Simulateur Amortissement'!B13)</f>
        <v/>
      </c>
      <c r="F147" s="20">
        <f>IF(B147="","",B147+E147)</f>
        <v/>
      </c>
      <c r="G147" s="20">
        <f>G146-D147</f>
        <v/>
      </c>
    </row>
    <row r="148">
      <c r="A148" s="17" t="n">
        <v>145</v>
      </c>
      <c r="B148" s="18">
        <f>IF(A148&gt;'Simulateur Amortissement'!B7*12,"",'Simulateur Amortissement'!B12)</f>
        <v/>
      </c>
      <c r="C148" s="18">
        <f>G147*'Simulateur Amortissement'!B6/12</f>
        <v/>
      </c>
      <c r="D148" s="18">
        <f>IF(B148="","",B148-C148)</f>
        <v/>
      </c>
      <c r="E148" s="18">
        <f>IF(A148&gt;'Simulateur Amortissement'!B7*12,"",'Simulateur Amortissement'!B13)</f>
        <v/>
      </c>
      <c r="F148" s="18">
        <f>IF(B148="","",B148+E148)</f>
        <v/>
      </c>
      <c r="G148" s="18">
        <f>G147-D148</f>
        <v/>
      </c>
    </row>
    <row r="149">
      <c r="A149" s="19" t="n">
        <v>146</v>
      </c>
      <c r="B149" s="20">
        <f>IF(A149&gt;'Simulateur Amortissement'!B7*12,"",'Simulateur Amortissement'!B12)</f>
        <v/>
      </c>
      <c r="C149" s="20">
        <f>G148*'Simulateur Amortissement'!B6/12</f>
        <v/>
      </c>
      <c r="D149" s="20">
        <f>IF(B149="","",B149-C149)</f>
        <v/>
      </c>
      <c r="E149" s="20">
        <f>IF(A149&gt;'Simulateur Amortissement'!B7*12,"",'Simulateur Amortissement'!B13)</f>
        <v/>
      </c>
      <c r="F149" s="20">
        <f>IF(B149="","",B149+E149)</f>
        <v/>
      </c>
      <c r="G149" s="20">
        <f>G148-D149</f>
        <v/>
      </c>
    </row>
    <row r="150">
      <c r="A150" s="17" t="n">
        <v>147</v>
      </c>
      <c r="B150" s="18">
        <f>IF(A150&gt;'Simulateur Amortissement'!B7*12,"",'Simulateur Amortissement'!B12)</f>
        <v/>
      </c>
      <c r="C150" s="18">
        <f>G149*'Simulateur Amortissement'!B6/12</f>
        <v/>
      </c>
      <c r="D150" s="18">
        <f>IF(B150="","",B150-C150)</f>
        <v/>
      </c>
      <c r="E150" s="18">
        <f>IF(A150&gt;'Simulateur Amortissement'!B7*12,"",'Simulateur Amortissement'!B13)</f>
        <v/>
      </c>
      <c r="F150" s="18">
        <f>IF(B150="","",B150+E150)</f>
        <v/>
      </c>
      <c r="G150" s="18">
        <f>G149-D150</f>
        <v/>
      </c>
    </row>
    <row r="151">
      <c r="A151" s="19" t="n">
        <v>148</v>
      </c>
      <c r="B151" s="20">
        <f>IF(A151&gt;'Simulateur Amortissement'!B7*12,"",'Simulateur Amortissement'!B12)</f>
        <v/>
      </c>
      <c r="C151" s="20">
        <f>G150*'Simulateur Amortissement'!B6/12</f>
        <v/>
      </c>
      <c r="D151" s="20">
        <f>IF(B151="","",B151-C151)</f>
        <v/>
      </c>
      <c r="E151" s="20">
        <f>IF(A151&gt;'Simulateur Amortissement'!B7*12,"",'Simulateur Amortissement'!B13)</f>
        <v/>
      </c>
      <c r="F151" s="20">
        <f>IF(B151="","",B151+E151)</f>
        <v/>
      </c>
      <c r="G151" s="20">
        <f>G150-D151</f>
        <v/>
      </c>
    </row>
    <row r="152">
      <c r="A152" s="17" t="n">
        <v>149</v>
      </c>
      <c r="B152" s="18">
        <f>IF(A152&gt;'Simulateur Amortissement'!B7*12,"",'Simulateur Amortissement'!B12)</f>
        <v/>
      </c>
      <c r="C152" s="18">
        <f>G151*'Simulateur Amortissement'!B6/12</f>
        <v/>
      </c>
      <c r="D152" s="18">
        <f>IF(B152="","",B152-C152)</f>
        <v/>
      </c>
      <c r="E152" s="18">
        <f>IF(A152&gt;'Simulateur Amortissement'!B7*12,"",'Simulateur Amortissement'!B13)</f>
        <v/>
      </c>
      <c r="F152" s="18">
        <f>IF(B152="","",B152+E152)</f>
        <v/>
      </c>
      <c r="G152" s="18">
        <f>G151-D152</f>
        <v/>
      </c>
    </row>
    <row r="153">
      <c r="A153" s="19" t="n">
        <v>150</v>
      </c>
      <c r="B153" s="20">
        <f>IF(A153&gt;'Simulateur Amortissement'!B7*12,"",'Simulateur Amortissement'!B12)</f>
        <v/>
      </c>
      <c r="C153" s="20">
        <f>G152*'Simulateur Amortissement'!B6/12</f>
        <v/>
      </c>
      <c r="D153" s="20">
        <f>IF(B153="","",B153-C153)</f>
        <v/>
      </c>
      <c r="E153" s="20">
        <f>IF(A153&gt;'Simulateur Amortissement'!B7*12,"",'Simulateur Amortissement'!B13)</f>
        <v/>
      </c>
      <c r="F153" s="20">
        <f>IF(B153="","",B153+E153)</f>
        <v/>
      </c>
      <c r="G153" s="20">
        <f>G152-D153</f>
        <v/>
      </c>
    </row>
    <row r="154">
      <c r="A154" s="17" t="n">
        <v>151</v>
      </c>
      <c r="B154" s="18">
        <f>IF(A154&gt;'Simulateur Amortissement'!B7*12,"",'Simulateur Amortissement'!B12)</f>
        <v/>
      </c>
      <c r="C154" s="18">
        <f>G153*'Simulateur Amortissement'!B6/12</f>
        <v/>
      </c>
      <c r="D154" s="18">
        <f>IF(B154="","",B154-C154)</f>
        <v/>
      </c>
      <c r="E154" s="18">
        <f>IF(A154&gt;'Simulateur Amortissement'!B7*12,"",'Simulateur Amortissement'!B13)</f>
        <v/>
      </c>
      <c r="F154" s="18">
        <f>IF(B154="","",B154+E154)</f>
        <v/>
      </c>
      <c r="G154" s="18">
        <f>G153-D154</f>
        <v/>
      </c>
    </row>
    <row r="155">
      <c r="A155" s="19" t="n">
        <v>152</v>
      </c>
      <c r="B155" s="20">
        <f>IF(A155&gt;'Simulateur Amortissement'!B7*12,"",'Simulateur Amortissement'!B12)</f>
        <v/>
      </c>
      <c r="C155" s="20">
        <f>G154*'Simulateur Amortissement'!B6/12</f>
        <v/>
      </c>
      <c r="D155" s="20">
        <f>IF(B155="","",B155-C155)</f>
        <v/>
      </c>
      <c r="E155" s="20">
        <f>IF(A155&gt;'Simulateur Amortissement'!B7*12,"",'Simulateur Amortissement'!B13)</f>
        <v/>
      </c>
      <c r="F155" s="20">
        <f>IF(B155="","",B155+E155)</f>
        <v/>
      </c>
      <c r="G155" s="20">
        <f>G154-D155</f>
        <v/>
      </c>
    </row>
    <row r="156">
      <c r="A156" s="17" t="n">
        <v>153</v>
      </c>
      <c r="B156" s="18">
        <f>IF(A156&gt;'Simulateur Amortissement'!B7*12,"",'Simulateur Amortissement'!B12)</f>
        <v/>
      </c>
      <c r="C156" s="18">
        <f>G155*'Simulateur Amortissement'!B6/12</f>
        <v/>
      </c>
      <c r="D156" s="18">
        <f>IF(B156="","",B156-C156)</f>
        <v/>
      </c>
      <c r="E156" s="18">
        <f>IF(A156&gt;'Simulateur Amortissement'!B7*12,"",'Simulateur Amortissement'!B13)</f>
        <v/>
      </c>
      <c r="F156" s="18">
        <f>IF(B156="","",B156+E156)</f>
        <v/>
      </c>
      <c r="G156" s="18">
        <f>G155-D156</f>
        <v/>
      </c>
    </row>
    <row r="157">
      <c r="A157" s="19" t="n">
        <v>154</v>
      </c>
      <c r="B157" s="20">
        <f>IF(A157&gt;'Simulateur Amortissement'!B7*12,"",'Simulateur Amortissement'!B12)</f>
        <v/>
      </c>
      <c r="C157" s="20">
        <f>G156*'Simulateur Amortissement'!B6/12</f>
        <v/>
      </c>
      <c r="D157" s="20">
        <f>IF(B157="","",B157-C157)</f>
        <v/>
      </c>
      <c r="E157" s="20">
        <f>IF(A157&gt;'Simulateur Amortissement'!B7*12,"",'Simulateur Amortissement'!B13)</f>
        <v/>
      </c>
      <c r="F157" s="20">
        <f>IF(B157="","",B157+E157)</f>
        <v/>
      </c>
      <c r="G157" s="20">
        <f>G156-D157</f>
        <v/>
      </c>
    </row>
    <row r="158">
      <c r="A158" s="17" t="n">
        <v>155</v>
      </c>
      <c r="B158" s="18">
        <f>IF(A158&gt;'Simulateur Amortissement'!B7*12,"",'Simulateur Amortissement'!B12)</f>
        <v/>
      </c>
      <c r="C158" s="18">
        <f>G157*'Simulateur Amortissement'!B6/12</f>
        <v/>
      </c>
      <c r="D158" s="18">
        <f>IF(B158="","",B158-C158)</f>
        <v/>
      </c>
      <c r="E158" s="18">
        <f>IF(A158&gt;'Simulateur Amortissement'!B7*12,"",'Simulateur Amortissement'!B13)</f>
        <v/>
      </c>
      <c r="F158" s="18">
        <f>IF(B158="","",B158+E158)</f>
        <v/>
      </c>
      <c r="G158" s="18">
        <f>G157-D158</f>
        <v/>
      </c>
    </row>
    <row r="159">
      <c r="A159" s="19" t="n">
        <v>156</v>
      </c>
      <c r="B159" s="20">
        <f>IF(A159&gt;'Simulateur Amortissement'!B7*12,"",'Simulateur Amortissement'!B12)</f>
        <v/>
      </c>
      <c r="C159" s="20">
        <f>G158*'Simulateur Amortissement'!B6/12</f>
        <v/>
      </c>
      <c r="D159" s="20">
        <f>IF(B159="","",B159-C159)</f>
        <v/>
      </c>
      <c r="E159" s="20">
        <f>IF(A159&gt;'Simulateur Amortissement'!B7*12,"",'Simulateur Amortissement'!B13)</f>
        <v/>
      </c>
      <c r="F159" s="20">
        <f>IF(B159="","",B159+E159)</f>
        <v/>
      </c>
      <c r="G159" s="20">
        <f>G158-D159</f>
        <v/>
      </c>
    </row>
    <row r="160">
      <c r="A160" s="17" t="n">
        <v>157</v>
      </c>
      <c r="B160" s="18">
        <f>IF(A160&gt;'Simulateur Amortissement'!B7*12,"",'Simulateur Amortissement'!B12)</f>
        <v/>
      </c>
      <c r="C160" s="18">
        <f>G159*'Simulateur Amortissement'!B6/12</f>
        <v/>
      </c>
      <c r="D160" s="18">
        <f>IF(B160="","",B160-C160)</f>
        <v/>
      </c>
      <c r="E160" s="18">
        <f>IF(A160&gt;'Simulateur Amortissement'!B7*12,"",'Simulateur Amortissement'!B13)</f>
        <v/>
      </c>
      <c r="F160" s="18">
        <f>IF(B160="","",B160+E160)</f>
        <v/>
      </c>
      <c r="G160" s="18">
        <f>G159-D160</f>
        <v/>
      </c>
    </row>
    <row r="161">
      <c r="A161" s="19" t="n">
        <v>158</v>
      </c>
      <c r="B161" s="20">
        <f>IF(A161&gt;'Simulateur Amortissement'!B7*12,"",'Simulateur Amortissement'!B12)</f>
        <v/>
      </c>
      <c r="C161" s="20">
        <f>G160*'Simulateur Amortissement'!B6/12</f>
        <v/>
      </c>
      <c r="D161" s="20">
        <f>IF(B161="","",B161-C161)</f>
        <v/>
      </c>
      <c r="E161" s="20">
        <f>IF(A161&gt;'Simulateur Amortissement'!B7*12,"",'Simulateur Amortissement'!B13)</f>
        <v/>
      </c>
      <c r="F161" s="20">
        <f>IF(B161="","",B161+E161)</f>
        <v/>
      </c>
      <c r="G161" s="20">
        <f>G160-D161</f>
        <v/>
      </c>
    </row>
    <row r="162">
      <c r="A162" s="17" t="n">
        <v>159</v>
      </c>
      <c r="B162" s="18">
        <f>IF(A162&gt;'Simulateur Amortissement'!B7*12,"",'Simulateur Amortissement'!B12)</f>
        <v/>
      </c>
      <c r="C162" s="18">
        <f>G161*'Simulateur Amortissement'!B6/12</f>
        <v/>
      </c>
      <c r="D162" s="18">
        <f>IF(B162="","",B162-C162)</f>
        <v/>
      </c>
      <c r="E162" s="18">
        <f>IF(A162&gt;'Simulateur Amortissement'!B7*12,"",'Simulateur Amortissement'!B13)</f>
        <v/>
      </c>
      <c r="F162" s="18">
        <f>IF(B162="","",B162+E162)</f>
        <v/>
      </c>
      <c r="G162" s="18">
        <f>G161-D162</f>
        <v/>
      </c>
    </row>
    <row r="163">
      <c r="A163" s="19" t="n">
        <v>160</v>
      </c>
      <c r="B163" s="20">
        <f>IF(A163&gt;'Simulateur Amortissement'!B7*12,"",'Simulateur Amortissement'!B12)</f>
        <v/>
      </c>
      <c r="C163" s="20">
        <f>G162*'Simulateur Amortissement'!B6/12</f>
        <v/>
      </c>
      <c r="D163" s="20">
        <f>IF(B163="","",B163-C163)</f>
        <v/>
      </c>
      <c r="E163" s="20">
        <f>IF(A163&gt;'Simulateur Amortissement'!B7*12,"",'Simulateur Amortissement'!B13)</f>
        <v/>
      </c>
      <c r="F163" s="20">
        <f>IF(B163="","",B163+E163)</f>
        <v/>
      </c>
      <c r="G163" s="20">
        <f>G162-D163</f>
        <v/>
      </c>
    </row>
    <row r="164">
      <c r="A164" s="17" t="n">
        <v>161</v>
      </c>
      <c r="B164" s="18">
        <f>IF(A164&gt;'Simulateur Amortissement'!B7*12,"",'Simulateur Amortissement'!B12)</f>
        <v/>
      </c>
      <c r="C164" s="18">
        <f>G163*'Simulateur Amortissement'!B6/12</f>
        <v/>
      </c>
      <c r="D164" s="18">
        <f>IF(B164="","",B164-C164)</f>
        <v/>
      </c>
      <c r="E164" s="18">
        <f>IF(A164&gt;'Simulateur Amortissement'!B7*12,"",'Simulateur Amortissement'!B13)</f>
        <v/>
      </c>
      <c r="F164" s="18">
        <f>IF(B164="","",B164+E164)</f>
        <v/>
      </c>
      <c r="G164" s="18">
        <f>G163-D164</f>
        <v/>
      </c>
    </row>
    <row r="165">
      <c r="A165" s="19" t="n">
        <v>162</v>
      </c>
      <c r="B165" s="20">
        <f>IF(A165&gt;'Simulateur Amortissement'!B7*12,"",'Simulateur Amortissement'!B12)</f>
        <v/>
      </c>
      <c r="C165" s="20">
        <f>G164*'Simulateur Amortissement'!B6/12</f>
        <v/>
      </c>
      <c r="D165" s="20">
        <f>IF(B165="","",B165-C165)</f>
        <v/>
      </c>
      <c r="E165" s="20">
        <f>IF(A165&gt;'Simulateur Amortissement'!B7*12,"",'Simulateur Amortissement'!B13)</f>
        <v/>
      </c>
      <c r="F165" s="20">
        <f>IF(B165="","",B165+E165)</f>
        <v/>
      </c>
      <c r="G165" s="20">
        <f>G164-D165</f>
        <v/>
      </c>
    </row>
    <row r="166">
      <c r="A166" s="17" t="n">
        <v>163</v>
      </c>
      <c r="B166" s="18">
        <f>IF(A166&gt;'Simulateur Amortissement'!B7*12,"",'Simulateur Amortissement'!B12)</f>
        <v/>
      </c>
      <c r="C166" s="18">
        <f>G165*'Simulateur Amortissement'!B6/12</f>
        <v/>
      </c>
      <c r="D166" s="18">
        <f>IF(B166="","",B166-C166)</f>
        <v/>
      </c>
      <c r="E166" s="18">
        <f>IF(A166&gt;'Simulateur Amortissement'!B7*12,"",'Simulateur Amortissement'!B13)</f>
        <v/>
      </c>
      <c r="F166" s="18">
        <f>IF(B166="","",B166+E166)</f>
        <v/>
      </c>
      <c r="G166" s="18">
        <f>G165-D166</f>
        <v/>
      </c>
    </row>
    <row r="167">
      <c r="A167" s="19" t="n">
        <v>164</v>
      </c>
      <c r="B167" s="20">
        <f>IF(A167&gt;'Simulateur Amortissement'!B7*12,"",'Simulateur Amortissement'!B12)</f>
        <v/>
      </c>
      <c r="C167" s="20">
        <f>G166*'Simulateur Amortissement'!B6/12</f>
        <v/>
      </c>
      <c r="D167" s="20">
        <f>IF(B167="","",B167-C167)</f>
        <v/>
      </c>
      <c r="E167" s="20">
        <f>IF(A167&gt;'Simulateur Amortissement'!B7*12,"",'Simulateur Amortissement'!B13)</f>
        <v/>
      </c>
      <c r="F167" s="20">
        <f>IF(B167="","",B167+E167)</f>
        <v/>
      </c>
      <c r="G167" s="20">
        <f>G166-D167</f>
        <v/>
      </c>
    </row>
    <row r="168">
      <c r="A168" s="17" t="n">
        <v>165</v>
      </c>
      <c r="B168" s="18">
        <f>IF(A168&gt;'Simulateur Amortissement'!B7*12,"",'Simulateur Amortissement'!B12)</f>
        <v/>
      </c>
      <c r="C168" s="18">
        <f>G167*'Simulateur Amortissement'!B6/12</f>
        <v/>
      </c>
      <c r="D168" s="18">
        <f>IF(B168="","",B168-C168)</f>
        <v/>
      </c>
      <c r="E168" s="18">
        <f>IF(A168&gt;'Simulateur Amortissement'!B7*12,"",'Simulateur Amortissement'!B13)</f>
        <v/>
      </c>
      <c r="F168" s="18">
        <f>IF(B168="","",B168+E168)</f>
        <v/>
      </c>
      <c r="G168" s="18">
        <f>G167-D168</f>
        <v/>
      </c>
    </row>
    <row r="169">
      <c r="A169" s="19" t="n">
        <v>166</v>
      </c>
      <c r="B169" s="20">
        <f>IF(A169&gt;'Simulateur Amortissement'!B7*12,"",'Simulateur Amortissement'!B12)</f>
        <v/>
      </c>
      <c r="C169" s="20">
        <f>G168*'Simulateur Amortissement'!B6/12</f>
        <v/>
      </c>
      <c r="D169" s="20">
        <f>IF(B169="","",B169-C169)</f>
        <v/>
      </c>
      <c r="E169" s="20">
        <f>IF(A169&gt;'Simulateur Amortissement'!B7*12,"",'Simulateur Amortissement'!B13)</f>
        <v/>
      </c>
      <c r="F169" s="20">
        <f>IF(B169="","",B169+E169)</f>
        <v/>
      </c>
      <c r="G169" s="20">
        <f>G168-D169</f>
        <v/>
      </c>
    </row>
    <row r="170">
      <c r="A170" s="17" t="n">
        <v>167</v>
      </c>
      <c r="B170" s="18">
        <f>IF(A170&gt;'Simulateur Amortissement'!B7*12,"",'Simulateur Amortissement'!B12)</f>
        <v/>
      </c>
      <c r="C170" s="18">
        <f>G169*'Simulateur Amortissement'!B6/12</f>
        <v/>
      </c>
      <c r="D170" s="18">
        <f>IF(B170="","",B170-C170)</f>
        <v/>
      </c>
      <c r="E170" s="18">
        <f>IF(A170&gt;'Simulateur Amortissement'!B7*12,"",'Simulateur Amortissement'!B13)</f>
        <v/>
      </c>
      <c r="F170" s="18">
        <f>IF(B170="","",B170+E170)</f>
        <v/>
      </c>
      <c r="G170" s="18">
        <f>G169-D170</f>
        <v/>
      </c>
    </row>
    <row r="171">
      <c r="A171" s="19" t="n">
        <v>168</v>
      </c>
      <c r="B171" s="20">
        <f>IF(A171&gt;'Simulateur Amortissement'!B7*12,"",'Simulateur Amortissement'!B12)</f>
        <v/>
      </c>
      <c r="C171" s="20">
        <f>G170*'Simulateur Amortissement'!B6/12</f>
        <v/>
      </c>
      <c r="D171" s="20">
        <f>IF(B171="","",B171-C171)</f>
        <v/>
      </c>
      <c r="E171" s="20">
        <f>IF(A171&gt;'Simulateur Amortissement'!B7*12,"",'Simulateur Amortissement'!B13)</f>
        <v/>
      </c>
      <c r="F171" s="20">
        <f>IF(B171="","",B171+E171)</f>
        <v/>
      </c>
      <c r="G171" s="20">
        <f>G170-D171</f>
        <v/>
      </c>
    </row>
    <row r="172">
      <c r="A172" s="17" t="n">
        <v>169</v>
      </c>
      <c r="B172" s="18">
        <f>IF(A172&gt;'Simulateur Amortissement'!B7*12,"",'Simulateur Amortissement'!B12)</f>
        <v/>
      </c>
      <c r="C172" s="18">
        <f>G171*'Simulateur Amortissement'!B6/12</f>
        <v/>
      </c>
      <c r="D172" s="18">
        <f>IF(B172="","",B172-C172)</f>
        <v/>
      </c>
      <c r="E172" s="18">
        <f>IF(A172&gt;'Simulateur Amortissement'!B7*12,"",'Simulateur Amortissement'!B13)</f>
        <v/>
      </c>
      <c r="F172" s="18">
        <f>IF(B172="","",B172+E172)</f>
        <v/>
      </c>
      <c r="G172" s="18">
        <f>G171-D172</f>
        <v/>
      </c>
    </row>
    <row r="173">
      <c r="A173" s="19" t="n">
        <v>170</v>
      </c>
      <c r="B173" s="20">
        <f>IF(A173&gt;'Simulateur Amortissement'!B7*12,"",'Simulateur Amortissement'!B12)</f>
        <v/>
      </c>
      <c r="C173" s="20">
        <f>G172*'Simulateur Amortissement'!B6/12</f>
        <v/>
      </c>
      <c r="D173" s="20">
        <f>IF(B173="","",B173-C173)</f>
        <v/>
      </c>
      <c r="E173" s="20">
        <f>IF(A173&gt;'Simulateur Amortissement'!B7*12,"",'Simulateur Amortissement'!B13)</f>
        <v/>
      </c>
      <c r="F173" s="20">
        <f>IF(B173="","",B173+E173)</f>
        <v/>
      </c>
      <c r="G173" s="20">
        <f>G172-D173</f>
        <v/>
      </c>
    </row>
    <row r="174">
      <c r="A174" s="17" t="n">
        <v>171</v>
      </c>
      <c r="B174" s="18">
        <f>IF(A174&gt;'Simulateur Amortissement'!B7*12,"",'Simulateur Amortissement'!B12)</f>
        <v/>
      </c>
      <c r="C174" s="18">
        <f>G173*'Simulateur Amortissement'!B6/12</f>
        <v/>
      </c>
      <c r="D174" s="18">
        <f>IF(B174="","",B174-C174)</f>
        <v/>
      </c>
      <c r="E174" s="18">
        <f>IF(A174&gt;'Simulateur Amortissement'!B7*12,"",'Simulateur Amortissement'!B13)</f>
        <v/>
      </c>
      <c r="F174" s="18">
        <f>IF(B174="","",B174+E174)</f>
        <v/>
      </c>
      <c r="G174" s="18">
        <f>G173-D174</f>
        <v/>
      </c>
    </row>
    <row r="175">
      <c r="A175" s="19" t="n">
        <v>172</v>
      </c>
      <c r="B175" s="20">
        <f>IF(A175&gt;'Simulateur Amortissement'!B7*12,"",'Simulateur Amortissement'!B12)</f>
        <v/>
      </c>
      <c r="C175" s="20">
        <f>G174*'Simulateur Amortissement'!B6/12</f>
        <v/>
      </c>
      <c r="D175" s="20">
        <f>IF(B175="","",B175-C175)</f>
        <v/>
      </c>
      <c r="E175" s="20">
        <f>IF(A175&gt;'Simulateur Amortissement'!B7*12,"",'Simulateur Amortissement'!B13)</f>
        <v/>
      </c>
      <c r="F175" s="20">
        <f>IF(B175="","",B175+E175)</f>
        <v/>
      </c>
      <c r="G175" s="20">
        <f>G174-D175</f>
        <v/>
      </c>
    </row>
    <row r="176">
      <c r="A176" s="17" t="n">
        <v>173</v>
      </c>
      <c r="B176" s="18">
        <f>IF(A176&gt;'Simulateur Amortissement'!B7*12,"",'Simulateur Amortissement'!B12)</f>
        <v/>
      </c>
      <c r="C176" s="18">
        <f>G175*'Simulateur Amortissement'!B6/12</f>
        <v/>
      </c>
      <c r="D176" s="18">
        <f>IF(B176="","",B176-C176)</f>
        <v/>
      </c>
      <c r="E176" s="18">
        <f>IF(A176&gt;'Simulateur Amortissement'!B7*12,"",'Simulateur Amortissement'!B13)</f>
        <v/>
      </c>
      <c r="F176" s="18">
        <f>IF(B176="","",B176+E176)</f>
        <v/>
      </c>
      <c r="G176" s="18">
        <f>G175-D176</f>
        <v/>
      </c>
    </row>
    <row r="177">
      <c r="A177" s="19" t="n">
        <v>174</v>
      </c>
      <c r="B177" s="20">
        <f>IF(A177&gt;'Simulateur Amortissement'!B7*12,"",'Simulateur Amortissement'!B12)</f>
        <v/>
      </c>
      <c r="C177" s="20">
        <f>G176*'Simulateur Amortissement'!B6/12</f>
        <v/>
      </c>
      <c r="D177" s="20">
        <f>IF(B177="","",B177-C177)</f>
        <v/>
      </c>
      <c r="E177" s="20">
        <f>IF(A177&gt;'Simulateur Amortissement'!B7*12,"",'Simulateur Amortissement'!B13)</f>
        <v/>
      </c>
      <c r="F177" s="20">
        <f>IF(B177="","",B177+E177)</f>
        <v/>
      </c>
      <c r="G177" s="20">
        <f>G176-D177</f>
        <v/>
      </c>
    </row>
    <row r="178">
      <c r="A178" s="17" t="n">
        <v>175</v>
      </c>
      <c r="B178" s="18">
        <f>IF(A178&gt;'Simulateur Amortissement'!B7*12,"",'Simulateur Amortissement'!B12)</f>
        <v/>
      </c>
      <c r="C178" s="18">
        <f>G177*'Simulateur Amortissement'!B6/12</f>
        <v/>
      </c>
      <c r="D178" s="18">
        <f>IF(B178="","",B178-C178)</f>
        <v/>
      </c>
      <c r="E178" s="18">
        <f>IF(A178&gt;'Simulateur Amortissement'!B7*12,"",'Simulateur Amortissement'!B13)</f>
        <v/>
      </c>
      <c r="F178" s="18">
        <f>IF(B178="","",B178+E178)</f>
        <v/>
      </c>
      <c r="G178" s="18">
        <f>G177-D178</f>
        <v/>
      </c>
    </row>
    <row r="179">
      <c r="A179" s="19" t="n">
        <v>176</v>
      </c>
      <c r="B179" s="20">
        <f>IF(A179&gt;'Simulateur Amortissement'!B7*12,"",'Simulateur Amortissement'!B12)</f>
        <v/>
      </c>
      <c r="C179" s="20">
        <f>G178*'Simulateur Amortissement'!B6/12</f>
        <v/>
      </c>
      <c r="D179" s="20">
        <f>IF(B179="","",B179-C179)</f>
        <v/>
      </c>
      <c r="E179" s="20">
        <f>IF(A179&gt;'Simulateur Amortissement'!B7*12,"",'Simulateur Amortissement'!B13)</f>
        <v/>
      </c>
      <c r="F179" s="20">
        <f>IF(B179="","",B179+E179)</f>
        <v/>
      </c>
      <c r="G179" s="20">
        <f>G178-D179</f>
        <v/>
      </c>
    </row>
    <row r="180">
      <c r="A180" s="17" t="n">
        <v>177</v>
      </c>
      <c r="B180" s="18">
        <f>IF(A180&gt;'Simulateur Amortissement'!B7*12,"",'Simulateur Amortissement'!B12)</f>
        <v/>
      </c>
      <c r="C180" s="18">
        <f>G179*'Simulateur Amortissement'!B6/12</f>
        <v/>
      </c>
      <c r="D180" s="18">
        <f>IF(B180="","",B180-C180)</f>
        <v/>
      </c>
      <c r="E180" s="18">
        <f>IF(A180&gt;'Simulateur Amortissement'!B7*12,"",'Simulateur Amortissement'!B13)</f>
        <v/>
      </c>
      <c r="F180" s="18">
        <f>IF(B180="","",B180+E180)</f>
        <v/>
      </c>
      <c r="G180" s="18">
        <f>G179-D180</f>
        <v/>
      </c>
    </row>
    <row r="181">
      <c r="A181" s="19" t="n">
        <v>178</v>
      </c>
      <c r="B181" s="20">
        <f>IF(A181&gt;'Simulateur Amortissement'!B7*12,"",'Simulateur Amortissement'!B12)</f>
        <v/>
      </c>
      <c r="C181" s="20">
        <f>G180*'Simulateur Amortissement'!B6/12</f>
        <v/>
      </c>
      <c r="D181" s="20">
        <f>IF(B181="","",B181-C181)</f>
        <v/>
      </c>
      <c r="E181" s="20">
        <f>IF(A181&gt;'Simulateur Amortissement'!B7*12,"",'Simulateur Amortissement'!B13)</f>
        <v/>
      </c>
      <c r="F181" s="20">
        <f>IF(B181="","",B181+E181)</f>
        <v/>
      </c>
      <c r="G181" s="20">
        <f>G180-D181</f>
        <v/>
      </c>
    </row>
    <row r="182">
      <c r="A182" s="17" t="n">
        <v>179</v>
      </c>
      <c r="B182" s="18">
        <f>IF(A182&gt;'Simulateur Amortissement'!B7*12,"",'Simulateur Amortissement'!B12)</f>
        <v/>
      </c>
      <c r="C182" s="18">
        <f>G181*'Simulateur Amortissement'!B6/12</f>
        <v/>
      </c>
      <c r="D182" s="18">
        <f>IF(B182="","",B182-C182)</f>
        <v/>
      </c>
      <c r="E182" s="18">
        <f>IF(A182&gt;'Simulateur Amortissement'!B7*12,"",'Simulateur Amortissement'!B13)</f>
        <v/>
      </c>
      <c r="F182" s="18">
        <f>IF(B182="","",B182+E182)</f>
        <v/>
      </c>
      <c r="G182" s="18">
        <f>G181-D182</f>
        <v/>
      </c>
    </row>
    <row r="183">
      <c r="A183" s="19" t="n">
        <v>180</v>
      </c>
      <c r="B183" s="20">
        <f>IF(A183&gt;'Simulateur Amortissement'!B7*12,"",'Simulateur Amortissement'!B12)</f>
        <v/>
      </c>
      <c r="C183" s="20">
        <f>G182*'Simulateur Amortissement'!B6/12</f>
        <v/>
      </c>
      <c r="D183" s="20">
        <f>IF(B183="","",B183-C183)</f>
        <v/>
      </c>
      <c r="E183" s="20">
        <f>IF(A183&gt;'Simulateur Amortissement'!B7*12,"",'Simulateur Amortissement'!B13)</f>
        <v/>
      </c>
      <c r="F183" s="20">
        <f>IF(B183="","",B183+E183)</f>
        <v/>
      </c>
      <c r="G183" s="20">
        <f>G182-D183</f>
        <v/>
      </c>
    </row>
    <row r="184">
      <c r="A184" s="17" t="n">
        <v>181</v>
      </c>
      <c r="B184" s="18">
        <f>IF(A184&gt;'Simulateur Amortissement'!B7*12,"",'Simulateur Amortissement'!B12)</f>
        <v/>
      </c>
      <c r="C184" s="18">
        <f>G183*'Simulateur Amortissement'!B6/12</f>
        <v/>
      </c>
      <c r="D184" s="18">
        <f>IF(B184="","",B184-C184)</f>
        <v/>
      </c>
      <c r="E184" s="18">
        <f>IF(A184&gt;'Simulateur Amortissement'!B7*12,"",'Simulateur Amortissement'!B13)</f>
        <v/>
      </c>
      <c r="F184" s="18">
        <f>IF(B184="","",B184+E184)</f>
        <v/>
      </c>
      <c r="G184" s="18">
        <f>G183-D184</f>
        <v/>
      </c>
    </row>
    <row r="185">
      <c r="A185" s="19" t="n">
        <v>182</v>
      </c>
      <c r="B185" s="20">
        <f>IF(A185&gt;'Simulateur Amortissement'!B7*12,"",'Simulateur Amortissement'!B12)</f>
        <v/>
      </c>
      <c r="C185" s="20">
        <f>G184*'Simulateur Amortissement'!B6/12</f>
        <v/>
      </c>
      <c r="D185" s="20">
        <f>IF(B185="","",B185-C185)</f>
        <v/>
      </c>
      <c r="E185" s="20">
        <f>IF(A185&gt;'Simulateur Amortissement'!B7*12,"",'Simulateur Amortissement'!B13)</f>
        <v/>
      </c>
      <c r="F185" s="20">
        <f>IF(B185="","",B185+E185)</f>
        <v/>
      </c>
      <c r="G185" s="20">
        <f>G184-D185</f>
        <v/>
      </c>
    </row>
    <row r="186">
      <c r="A186" s="17" t="n">
        <v>183</v>
      </c>
      <c r="B186" s="18">
        <f>IF(A186&gt;'Simulateur Amortissement'!B7*12,"",'Simulateur Amortissement'!B12)</f>
        <v/>
      </c>
      <c r="C186" s="18">
        <f>G185*'Simulateur Amortissement'!B6/12</f>
        <v/>
      </c>
      <c r="D186" s="18">
        <f>IF(B186="","",B186-C186)</f>
        <v/>
      </c>
      <c r="E186" s="18">
        <f>IF(A186&gt;'Simulateur Amortissement'!B7*12,"",'Simulateur Amortissement'!B13)</f>
        <v/>
      </c>
      <c r="F186" s="18">
        <f>IF(B186="","",B186+E186)</f>
        <v/>
      </c>
      <c r="G186" s="18">
        <f>G185-D186</f>
        <v/>
      </c>
    </row>
    <row r="187">
      <c r="A187" s="19" t="n">
        <v>184</v>
      </c>
      <c r="B187" s="20">
        <f>IF(A187&gt;'Simulateur Amortissement'!B7*12,"",'Simulateur Amortissement'!B12)</f>
        <v/>
      </c>
      <c r="C187" s="20">
        <f>G186*'Simulateur Amortissement'!B6/12</f>
        <v/>
      </c>
      <c r="D187" s="20">
        <f>IF(B187="","",B187-C187)</f>
        <v/>
      </c>
      <c r="E187" s="20">
        <f>IF(A187&gt;'Simulateur Amortissement'!B7*12,"",'Simulateur Amortissement'!B13)</f>
        <v/>
      </c>
      <c r="F187" s="20">
        <f>IF(B187="","",B187+E187)</f>
        <v/>
      </c>
      <c r="G187" s="20">
        <f>G186-D187</f>
        <v/>
      </c>
    </row>
    <row r="188">
      <c r="A188" s="17" t="n">
        <v>185</v>
      </c>
      <c r="B188" s="18">
        <f>IF(A188&gt;'Simulateur Amortissement'!B7*12,"",'Simulateur Amortissement'!B12)</f>
        <v/>
      </c>
      <c r="C188" s="18">
        <f>G187*'Simulateur Amortissement'!B6/12</f>
        <v/>
      </c>
      <c r="D188" s="18">
        <f>IF(B188="","",B188-C188)</f>
        <v/>
      </c>
      <c r="E188" s="18">
        <f>IF(A188&gt;'Simulateur Amortissement'!B7*12,"",'Simulateur Amortissement'!B13)</f>
        <v/>
      </c>
      <c r="F188" s="18">
        <f>IF(B188="","",B188+E188)</f>
        <v/>
      </c>
      <c r="G188" s="18">
        <f>G187-D188</f>
        <v/>
      </c>
    </row>
    <row r="189">
      <c r="A189" s="19" t="n">
        <v>186</v>
      </c>
      <c r="B189" s="20">
        <f>IF(A189&gt;'Simulateur Amortissement'!B7*12,"",'Simulateur Amortissement'!B12)</f>
        <v/>
      </c>
      <c r="C189" s="20">
        <f>G188*'Simulateur Amortissement'!B6/12</f>
        <v/>
      </c>
      <c r="D189" s="20">
        <f>IF(B189="","",B189-C189)</f>
        <v/>
      </c>
      <c r="E189" s="20">
        <f>IF(A189&gt;'Simulateur Amortissement'!B7*12,"",'Simulateur Amortissement'!B13)</f>
        <v/>
      </c>
      <c r="F189" s="20">
        <f>IF(B189="","",B189+E189)</f>
        <v/>
      </c>
      <c r="G189" s="20">
        <f>G188-D189</f>
        <v/>
      </c>
    </row>
    <row r="190">
      <c r="A190" s="17" t="n">
        <v>187</v>
      </c>
      <c r="B190" s="18">
        <f>IF(A190&gt;'Simulateur Amortissement'!B7*12,"",'Simulateur Amortissement'!B12)</f>
        <v/>
      </c>
      <c r="C190" s="18">
        <f>G189*'Simulateur Amortissement'!B6/12</f>
        <v/>
      </c>
      <c r="D190" s="18">
        <f>IF(B190="","",B190-C190)</f>
        <v/>
      </c>
      <c r="E190" s="18">
        <f>IF(A190&gt;'Simulateur Amortissement'!B7*12,"",'Simulateur Amortissement'!B13)</f>
        <v/>
      </c>
      <c r="F190" s="18">
        <f>IF(B190="","",B190+E190)</f>
        <v/>
      </c>
      <c r="G190" s="18">
        <f>G189-D190</f>
        <v/>
      </c>
    </row>
    <row r="191">
      <c r="A191" s="19" t="n">
        <v>188</v>
      </c>
      <c r="B191" s="20">
        <f>IF(A191&gt;'Simulateur Amortissement'!B7*12,"",'Simulateur Amortissement'!B12)</f>
        <v/>
      </c>
      <c r="C191" s="20">
        <f>G190*'Simulateur Amortissement'!B6/12</f>
        <v/>
      </c>
      <c r="D191" s="20">
        <f>IF(B191="","",B191-C191)</f>
        <v/>
      </c>
      <c r="E191" s="20">
        <f>IF(A191&gt;'Simulateur Amortissement'!B7*12,"",'Simulateur Amortissement'!B13)</f>
        <v/>
      </c>
      <c r="F191" s="20">
        <f>IF(B191="","",B191+E191)</f>
        <v/>
      </c>
      <c r="G191" s="20">
        <f>G190-D191</f>
        <v/>
      </c>
    </row>
    <row r="192">
      <c r="A192" s="17" t="n">
        <v>189</v>
      </c>
      <c r="B192" s="18">
        <f>IF(A192&gt;'Simulateur Amortissement'!B7*12,"",'Simulateur Amortissement'!B12)</f>
        <v/>
      </c>
      <c r="C192" s="18">
        <f>G191*'Simulateur Amortissement'!B6/12</f>
        <v/>
      </c>
      <c r="D192" s="18">
        <f>IF(B192="","",B192-C192)</f>
        <v/>
      </c>
      <c r="E192" s="18">
        <f>IF(A192&gt;'Simulateur Amortissement'!B7*12,"",'Simulateur Amortissement'!B13)</f>
        <v/>
      </c>
      <c r="F192" s="18">
        <f>IF(B192="","",B192+E192)</f>
        <v/>
      </c>
      <c r="G192" s="18">
        <f>G191-D192</f>
        <v/>
      </c>
    </row>
    <row r="193">
      <c r="A193" s="19" t="n">
        <v>190</v>
      </c>
      <c r="B193" s="20">
        <f>IF(A193&gt;'Simulateur Amortissement'!B7*12,"",'Simulateur Amortissement'!B12)</f>
        <v/>
      </c>
      <c r="C193" s="20">
        <f>G192*'Simulateur Amortissement'!B6/12</f>
        <v/>
      </c>
      <c r="D193" s="20">
        <f>IF(B193="","",B193-C193)</f>
        <v/>
      </c>
      <c r="E193" s="20">
        <f>IF(A193&gt;'Simulateur Amortissement'!B7*12,"",'Simulateur Amortissement'!B13)</f>
        <v/>
      </c>
      <c r="F193" s="20">
        <f>IF(B193="","",B193+E193)</f>
        <v/>
      </c>
      <c r="G193" s="20">
        <f>G192-D193</f>
        <v/>
      </c>
    </row>
    <row r="194">
      <c r="A194" s="17" t="n">
        <v>191</v>
      </c>
      <c r="B194" s="18">
        <f>IF(A194&gt;'Simulateur Amortissement'!B7*12,"",'Simulateur Amortissement'!B12)</f>
        <v/>
      </c>
      <c r="C194" s="18">
        <f>G193*'Simulateur Amortissement'!B6/12</f>
        <v/>
      </c>
      <c r="D194" s="18">
        <f>IF(B194="","",B194-C194)</f>
        <v/>
      </c>
      <c r="E194" s="18">
        <f>IF(A194&gt;'Simulateur Amortissement'!B7*12,"",'Simulateur Amortissement'!B13)</f>
        <v/>
      </c>
      <c r="F194" s="18">
        <f>IF(B194="","",B194+E194)</f>
        <v/>
      </c>
      <c r="G194" s="18">
        <f>G193-D194</f>
        <v/>
      </c>
    </row>
    <row r="195">
      <c r="A195" s="19" t="n">
        <v>192</v>
      </c>
      <c r="B195" s="20">
        <f>IF(A195&gt;'Simulateur Amortissement'!B7*12,"",'Simulateur Amortissement'!B12)</f>
        <v/>
      </c>
      <c r="C195" s="20">
        <f>G194*'Simulateur Amortissement'!B6/12</f>
        <v/>
      </c>
      <c r="D195" s="20">
        <f>IF(B195="","",B195-C195)</f>
        <v/>
      </c>
      <c r="E195" s="20">
        <f>IF(A195&gt;'Simulateur Amortissement'!B7*12,"",'Simulateur Amortissement'!B13)</f>
        <v/>
      </c>
      <c r="F195" s="20">
        <f>IF(B195="","",B195+E195)</f>
        <v/>
      </c>
      <c r="G195" s="20">
        <f>G194-D195</f>
        <v/>
      </c>
    </row>
    <row r="196">
      <c r="A196" s="17" t="n">
        <v>193</v>
      </c>
      <c r="B196" s="18">
        <f>IF(A196&gt;'Simulateur Amortissement'!B7*12,"",'Simulateur Amortissement'!B12)</f>
        <v/>
      </c>
      <c r="C196" s="18">
        <f>G195*'Simulateur Amortissement'!B6/12</f>
        <v/>
      </c>
      <c r="D196" s="18">
        <f>IF(B196="","",B196-C196)</f>
        <v/>
      </c>
      <c r="E196" s="18">
        <f>IF(A196&gt;'Simulateur Amortissement'!B7*12,"",'Simulateur Amortissement'!B13)</f>
        <v/>
      </c>
      <c r="F196" s="18">
        <f>IF(B196="","",B196+E196)</f>
        <v/>
      </c>
      <c r="G196" s="18">
        <f>G195-D196</f>
        <v/>
      </c>
    </row>
    <row r="197">
      <c r="A197" s="19" t="n">
        <v>194</v>
      </c>
      <c r="B197" s="20">
        <f>IF(A197&gt;'Simulateur Amortissement'!B7*12,"",'Simulateur Amortissement'!B12)</f>
        <v/>
      </c>
      <c r="C197" s="20">
        <f>G196*'Simulateur Amortissement'!B6/12</f>
        <v/>
      </c>
      <c r="D197" s="20">
        <f>IF(B197="","",B197-C197)</f>
        <v/>
      </c>
      <c r="E197" s="20">
        <f>IF(A197&gt;'Simulateur Amortissement'!B7*12,"",'Simulateur Amortissement'!B13)</f>
        <v/>
      </c>
      <c r="F197" s="20">
        <f>IF(B197="","",B197+E197)</f>
        <v/>
      </c>
      <c r="G197" s="20">
        <f>G196-D197</f>
        <v/>
      </c>
    </row>
    <row r="198">
      <c r="A198" s="17" t="n">
        <v>195</v>
      </c>
      <c r="B198" s="18">
        <f>IF(A198&gt;'Simulateur Amortissement'!B7*12,"",'Simulateur Amortissement'!B12)</f>
        <v/>
      </c>
      <c r="C198" s="18">
        <f>G197*'Simulateur Amortissement'!B6/12</f>
        <v/>
      </c>
      <c r="D198" s="18">
        <f>IF(B198="","",B198-C198)</f>
        <v/>
      </c>
      <c r="E198" s="18">
        <f>IF(A198&gt;'Simulateur Amortissement'!B7*12,"",'Simulateur Amortissement'!B13)</f>
        <v/>
      </c>
      <c r="F198" s="18">
        <f>IF(B198="","",B198+E198)</f>
        <v/>
      </c>
      <c r="G198" s="18">
        <f>G197-D198</f>
        <v/>
      </c>
    </row>
    <row r="199">
      <c r="A199" s="19" t="n">
        <v>196</v>
      </c>
      <c r="B199" s="20">
        <f>IF(A199&gt;'Simulateur Amortissement'!B7*12,"",'Simulateur Amortissement'!B12)</f>
        <v/>
      </c>
      <c r="C199" s="20">
        <f>G198*'Simulateur Amortissement'!B6/12</f>
        <v/>
      </c>
      <c r="D199" s="20">
        <f>IF(B199="","",B199-C199)</f>
        <v/>
      </c>
      <c r="E199" s="20">
        <f>IF(A199&gt;'Simulateur Amortissement'!B7*12,"",'Simulateur Amortissement'!B13)</f>
        <v/>
      </c>
      <c r="F199" s="20">
        <f>IF(B199="","",B199+E199)</f>
        <v/>
      </c>
      <c r="G199" s="20">
        <f>G198-D199</f>
        <v/>
      </c>
    </row>
    <row r="200">
      <c r="A200" s="17" t="n">
        <v>197</v>
      </c>
      <c r="B200" s="18">
        <f>IF(A200&gt;'Simulateur Amortissement'!B7*12,"",'Simulateur Amortissement'!B12)</f>
        <v/>
      </c>
      <c r="C200" s="18">
        <f>G199*'Simulateur Amortissement'!B6/12</f>
        <v/>
      </c>
      <c r="D200" s="18">
        <f>IF(B200="","",B200-C200)</f>
        <v/>
      </c>
      <c r="E200" s="18">
        <f>IF(A200&gt;'Simulateur Amortissement'!B7*12,"",'Simulateur Amortissement'!B13)</f>
        <v/>
      </c>
      <c r="F200" s="18">
        <f>IF(B200="","",B200+E200)</f>
        <v/>
      </c>
      <c r="G200" s="18">
        <f>G199-D200</f>
        <v/>
      </c>
    </row>
    <row r="201">
      <c r="A201" s="19" t="n">
        <v>198</v>
      </c>
      <c r="B201" s="20">
        <f>IF(A201&gt;'Simulateur Amortissement'!B7*12,"",'Simulateur Amortissement'!B12)</f>
        <v/>
      </c>
      <c r="C201" s="20">
        <f>G200*'Simulateur Amortissement'!B6/12</f>
        <v/>
      </c>
      <c r="D201" s="20">
        <f>IF(B201="","",B201-C201)</f>
        <v/>
      </c>
      <c r="E201" s="20">
        <f>IF(A201&gt;'Simulateur Amortissement'!B7*12,"",'Simulateur Amortissement'!B13)</f>
        <v/>
      </c>
      <c r="F201" s="20">
        <f>IF(B201="","",B201+E201)</f>
        <v/>
      </c>
      <c r="G201" s="20">
        <f>G200-D201</f>
        <v/>
      </c>
    </row>
    <row r="202">
      <c r="A202" s="17" t="n">
        <v>199</v>
      </c>
      <c r="B202" s="18">
        <f>IF(A202&gt;'Simulateur Amortissement'!B7*12,"",'Simulateur Amortissement'!B12)</f>
        <v/>
      </c>
      <c r="C202" s="18">
        <f>G201*'Simulateur Amortissement'!B6/12</f>
        <v/>
      </c>
      <c r="D202" s="18">
        <f>IF(B202="","",B202-C202)</f>
        <v/>
      </c>
      <c r="E202" s="18">
        <f>IF(A202&gt;'Simulateur Amortissement'!B7*12,"",'Simulateur Amortissement'!B13)</f>
        <v/>
      </c>
      <c r="F202" s="18">
        <f>IF(B202="","",B202+E202)</f>
        <v/>
      </c>
      <c r="G202" s="18">
        <f>G201-D202</f>
        <v/>
      </c>
    </row>
    <row r="203">
      <c r="A203" s="19" t="n">
        <v>200</v>
      </c>
      <c r="B203" s="20">
        <f>IF(A203&gt;'Simulateur Amortissement'!B7*12,"",'Simulateur Amortissement'!B12)</f>
        <v/>
      </c>
      <c r="C203" s="20">
        <f>G202*'Simulateur Amortissement'!B6/12</f>
        <v/>
      </c>
      <c r="D203" s="20">
        <f>IF(B203="","",B203-C203)</f>
        <v/>
      </c>
      <c r="E203" s="20">
        <f>IF(A203&gt;'Simulateur Amortissement'!B7*12,"",'Simulateur Amortissement'!B13)</f>
        <v/>
      </c>
      <c r="F203" s="20">
        <f>IF(B203="","",B203+E203)</f>
        <v/>
      </c>
      <c r="G203" s="20">
        <f>G202-D203</f>
        <v/>
      </c>
    </row>
    <row r="204">
      <c r="A204" s="17" t="n">
        <v>201</v>
      </c>
      <c r="B204" s="18">
        <f>IF(A204&gt;'Simulateur Amortissement'!B7*12,"",'Simulateur Amortissement'!B12)</f>
        <v/>
      </c>
      <c r="C204" s="18">
        <f>G203*'Simulateur Amortissement'!B6/12</f>
        <v/>
      </c>
      <c r="D204" s="18">
        <f>IF(B204="","",B204-C204)</f>
        <v/>
      </c>
      <c r="E204" s="18">
        <f>IF(A204&gt;'Simulateur Amortissement'!B7*12,"",'Simulateur Amortissement'!B13)</f>
        <v/>
      </c>
      <c r="F204" s="18">
        <f>IF(B204="","",B204+E204)</f>
        <v/>
      </c>
      <c r="G204" s="18">
        <f>G203-D204</f>
        <v/>
      </c>
    </row>
    <row r="205">
      <c r="A205" s="19" t="n">
        <v>202</v>
      </c>
      <c r="B205" s="20">
        <f>IF(A205&gt;'Simulateur Amortissement'!B7*12,"",'Simulateur Amortissement'!B12)</f>
        <v/>
      </c>
      <c r="C205" s="20">
        <f>G204*'Simulateur Amortissement'!B6/12</f>
        <v/>
      </c>
      <c r="D205" s="20">
        <f>IF(B205="","",B205-C205)</f>
        <v/>
      </c>
      <c r="E205" s="20">
        <f>IF(A205&gt;'Simulateur Amortissement'!B7*12,"",'Simulateur Amortissement'!B13)</f>
        <v/>
      </c>
      <c r="F205" s="20">
        <f>IF(B205="","",B205+E205)</f>
        <v/>
      </c>
      <c r="G205" s="20">
        <f>G204-D205</f>
        <v/>
      </c>
    </row>
    <row r="206">
      <c r="A206" s="17" t="n">
        <v>203</v>
      </c>
      <c r="B206" s="18">
        <f>IF(A206&gt;'Simulateur Amortissement'!B7*12,"",'Simulateur Amortissement'!B12)</f>
        <v/>
      </c>
      <c r="C206" s="18">
        <f>G205*'Simulateur Amortissement'!B6/12</f>
        <v/>
      </c>
      <c r="D206" s="18">
        <f>IF(B206="","",B206-C206)</f>
        <v/>
      </c>
      <c r="E206" s="18">
        <f>IF(A206&gt;'Simulateur Amortissement'!B7*12,"",'Simulateur Amortissement'!B13)</f>
        <v/>
      </c>
      <c r="F206" s="18">
        <f>IF(B206="","",B206+E206)</f>
        <v/>
      </c>
      <c r="G206" s="18">
        <f>G205-D206</f>
        <v/>
      </c>
    </row>
    <row r="207">
      <c r="A207" s="19" t="n">
        <v>204</v>
      </c>
      <c r="B207" s="20">
        <f>IF(A207&gt;'Simulateur Amortissement'!B7*12,"",'Simulateur Amortissement'!B12)</f>
        <v/>
      </c>
      <c r="C207" s="20">
        <f>G206*'Simulateur Amortissement'!B6/12</f>
        <v/>
      </c>
      <c r="D207" s="20">
        <f>IF(B207="","",B207-C207)</f>
        <v/>
      </c>
      <c r="E207" s="20">
        <f>IF(A207&gt;'Simulateur Amortissement'!B7*12,"",'Simulateur Amortissement'!B13)</f>
        <v/>
      </c>
      <c r="F207" s="20">
        <f>IF(B207="","",B207+E207)</f>
        <v/>
      </c>
      <c r="G207" s="20">
        <f>G206-D207</f>
        <v/>
      </c>
    </row>
    <row r="208">
      <c r="A208" s="17" t="n">
        <v>205</v>
      </c>
      <c r="B208" s="18">
        <f>IF(A208&gt;'Simulateur Amortissement'!B7*12,"",'Simulateur Amortissement'!B12)</f>
        <v/>
      </c>
      <c r="C208" s="18">
        <f>G207*'Simulateur Amortissement'!B6/12</f>
        <v/>
      </c>
      <c r="D208" s="18">
        <f>IF(B208="","",B208-C208)</f>
        <v/>
      </c>
      <c r="E208" s="18">
        <f>IF(A208&gt;'Simulateur Amortissement'!B7*12,"",'Simulateur Amortissement'!B13)</f>
        <v/>
      </c>
      <c r="F208" s="18">
        <f>IF(B208="","",B208+E208)</f>
        <v/>
      </c>
      <c r="G208" s="18">
        <f>G207-D208</f>
        <v/>
      </c>
    </row>
    <row r="209">
      <c r="A209" s="19" t="n">
        <v>206</v>
      </c>
      <c r="B209" s="20">
        <f>IF(A209&gt;'Simulateur Amortissement'!B7*12,"",'Simulateur Amortissement'!B12)</f>
        <v/>
      </c>
      <c r="C209" s="20">
        <f>G208*'Simulateur Amortissement'!B6/12</f>
        <v/>
      </c>
      <c r="D209" s="20">
        <f>IF(B209="","",B209-C209)</f>
        <v/>
      </c>
      <c r="E209" s="20">
        <f>IF(A209&gt;'Simulateur Amortissement'!B7*12,"",'Simulateur Amortissement'!B13)</f>
        <v/>
      </c>
      <c r="F209" s="20">
        <f>IF(B209="","",B209+E209)</f>
        <v/>
      </c>
      <c r="G209" s="20">
        <f>G208-D209</f>
        <v/>
      </c>
    </row>
    <row r="210">
      <c r="A210" s="17" t="n">
        <v>207</v>
      </c>
      <c r="B210" s="18">
        <f>IF(A210&gt;'Simulateur Amortissement'!B7*12,"",'Simulateur Amortissement'!B12)</f>
        <v/>
      </c>
      <c r="C210" s="18">
        <f>G209*'Simulateur Amortissement'!B6/12</f>
        <v/>
      </c>
      <c r="D210" s="18">
        <f>IF(B210="","",B210-C210)</f>
        <v/>
      </c>
      <c r="E210" s="18">
        <f>IF(A210&gt;'Simulateur Amortissement'!B7*12,"",'Simulateur Amortissement'!B13)</f>
        <v/>
      </c>
      <c r="F210" s="18">
        <f>IF(B210="","",B210+E210)</f>
        <v/>
      </c>
      <c r="G210" s="18">
        <f>G209-D210</f>
        <v/>
      </c>
    </row>
    <row r="211">
      <c r="A211" s="19" t="n">
        <v>208</v>
      </c>
      <c r="B211" s="20">
        <f>IF(A211&gt;'Simulateur Amortissement'!B7*12,"",'Simulateur Amortissement'!B12)</f>
        <v/>
      </c>
      <c r="C211" s="20">
        <f>G210*'Simulateur Amortissement'!B6/12</f>
        <v/>
      </c>
      <c r="D211" s="20">
        <f>IF(B211="","",B211-C211)</f>
        <v/>
      </c>
      <c r="E211" s="20">
        <f>IF(A211&gt;'Simulateur Amortissement'!B7*12,"",'Simulateur Amortissement'!B13)</f>
        <v/>
      </c>
      <c r="F211" s="20">
        <f>IF(B211="","",B211+E211)</f>
        <v/>
      </c>
      <c r="G211" s="20">
        <f>G210-D211</f>
        <v/>
      </c>
    </row>
    <row r="212">
      <c r="A212" s="17" t="n">
        <v>209</v>
      </c>
      <c r="B212" s="18">
        <f>IF(A212&gt;'Simulateur Amortissement'!B7*12,"",'Simulateur Amortissement'!B12)</f>
        <v/>
      </c>
      <c r="C212" s="18">
        <f>G211*'Simulateur Amortissement'!B6/12</f>
        <v/>
      </c>
      <c r="D212" s="18">
        <f>IF(B212="","",B212-C212)</f>
        <v/>
      </c>
      <c r="E212" s="18">
        <f>IF(A212&gt;'Simulateur Amortissement'!B7*12,"",'Simulateur Amortissement'!B13)</f>
        <v/>
      </c>
      <c r="F212" s="18">
        <f>IF(B212="","",B212+E212)</f>
        <v/>
      </c>
      <c r="G212" s="18">
        <f>G211-D212</f>
        <v/>
      </c>
    </row>
    <row r="213">
      <c r="A213" s="19" t="n">
        <v>210</v>
      </c>
      <c r="B213" s="20">
        <f>IF(A213&gt;'Simulateur Amortissement'!B7*12,"",'Simulateur Amortissement'!B12)</f>
        <v/>
      </c>
      <c r="C213" s="20">
        <f>G212*'Simulateur Amortissement'!B6/12</f>
        <v/>
      </c>
      <c r="D213" s="20">
        <f>IF(B213="","",B213-C213)</f>
        <v/>
      </c>
      <c r="E213" s="20">
        <f>IF(A213&gt;'Simulateur Amortissement'!B7*12,"",'Simulateur Amortissement'!B13)</f>
        <v/>
      </c>
      <c r="F213" s="20">
        <f>IF(B213="","",B213+E213)</f>
        <v/>
      </c>
      <c r="G213" s="20">
        <f>G212-D213</f>
        <v/>
      </c>
    </row>
    <row r="214">
      <c r="A214" s="17" t="n">
        <v>211</v>
      </c>
      <c r="B214" s="18">
        <f>IF(A214&gt;'Simulateur Amortissement'!B7*12,"",'Simulateur Amortissement'!B12)</f>
        <v/>
      </c>
      <c r="C214" s="18">
        <f>G213*'Simulateur Amortissement'!B6/12</f>
        <v/>
      </c>
      <c r="D214" s="18">
        <f>IF(B214="","",B214-C214)</f>
        <v/>
      </c>
      <c r="E214" s="18">
        <f>IF(A214&gt;'Simulateur Amortissement'!B7*12,"",'Simulateur Amortissement'!B13)</f>
        <v/>
      </c>
      <c r="F214" s="18">
        <f>IF(B214="","",B214+E214)</f>
        <v/>
      </c>
      <c r="G214" s="18">
        <f>G213-D214</f>
        <v/>
      </c>
    </row>
    <row r="215">
      <c r="A215" s="19" t="n">
        <v>212</v>
      </c>
      <c r="B215" s="20">
        <f>IF(A215&gt;'Simulateur Amortissement'!B7*12,"",'Simulateur Amortissement'!B12)</f>
        <v/>
      </c>
      <c r="C215" s="20">
        <f>G214*'Simulateur Amortissement'!B6/12</f>
        <v/>
      </c>
      <c r="D215" s="20">
        <f>IF(B215="","",B215-C215)</f>
        <v/>
      </c>
      <c r="E215" s="20">
        <f>IF(A215&gt;'Simulateur Amortissement'!B7*12,"",'Simulateur Amortissement'!B13)</f>
        <v/>
      </c>
      <c r="F215" s="20">
        <f>IF(B215="","",B215+E215)</f>
        <v/>
      </c>
      <c r="G215" s="20">
        <f>G214-D215</f>
        <v/>
      </c>
    </row>
    <row r="216">
      <c r="A216" s="17" t="n">
        <v>213</v>
      </c>
      <c r="B216" s="18">
        <f>IF(A216&gt;'Simulateur Amortissement'!B7*12,"",'Simulateur Amortissement'!B12)</f>
        <v/>
      </c>
      <c r="C216" s="18">
        <f>G215*'Simulateur Amortissement'!B6/12</f>
        <v/>
      </c>
      <c r="D216" s="18">
        <f>IF(B216="","",B216-C216)</f>
        <v/>
      </c>
      <c r="E216" s="18">
        <f>IF(A216&gt;'Simulateur Amortissement'!B7*12,"",'Simulateur Amortissement'!B13)</f>
        <v/>
      </c>
      <c r="F216" s="18">
        <f>IF(B216="","",B216+E216)</f>
        <v/>
      </c>
      <c r="G216" s="18">
        <f>G215-D216</f>
        <v/>
      </c>
    </row>
    <row r="217">
      <c r="A217" s="19" t="n">
        <v>214</v>
      </c>
      <c r="B217" s="20">
        <f>IF(A217&gt;'Simulateur Amortissement'!B7*12,"",'Simulateur Amortissement'!B12)</f>
        <v/>
      </c>
      <c r="C217" s="20">
        <f>G216*'Simulateur Amortissement'!B6/12</f>
        <v/>
      </c>
      <c r="D217" s="20">
        <f>IF(B217="","",B217-C217)</f>
        <v/>
      </c>
      <c r="E217" s="20">
        <f>IF(A217&gt;'Simulateur Amortissement'!B7*12,"",'Simulateur Amortissement'!B13)</f>
        <v/>
      </c>
      <c r="F217" s="20">
        <f>IF(B217="","",B217+E217)</f>
        <v/>
      </c>
      <c r="G217" s="20">
        <f>G216-D217</f>
        <v/>
      </c>
    </row>
    <row r="218">
      <c r="A218" s="17" t="n">
        <v>215</v>
      </c>
      <c r="B218" s="18">
        <f>IF(A218&gt;'Simulateur Amortissement'!B7*12,"",'Simulateur Amortissement'!B12)</f>
        <v/>
      </c>
      <c r="C218" s="18">
        <f>G217*'Simulateur Amortissement'!B6/12</f>
        <v/>
      </c>
      <c r="D218" s="18">
        <f>IF(B218="","",B218-C218)</f>
        <v/>
      </c>
      <c r="E218" s="18">
        <f>IF(A218&gt;'Simulateur Amortissement'!B7*12,"",'Simulateur Amortissement'!B13)</f>
        <v/>
      </c>
      <c r="F218" s="18">
        <f>IF(B218="","",B218+E218)</f>
        <v/>
      </c>
      <c r="G218" s="18">
        <f>G217-D218</f>
        <v/>
      </c>
    </row>
    <row r="219">
      <c r="A219" s="19" t="n">
        <v>216</v>
      </c>
      <c r="B219" s="20">
        <f>IF(A219&gt;'Simulateur Amortissement'!B7*12,"",'Simulateur Amortissement'!B12)</f>
        <v/>
      </c>
      <c r="C219" s="20">
        <f>G218*'Simulateur Amortissement'!B6/12</f>
        <v/>
      </c>
      <c r="D219" s="20">
        <f>IF(B219="","",B219-C219)</f>
        <v/>
      </c>
      <c r="E219" s="20">
        <f>IF(A219&gt;'Simulateur Amortissement'!B7*12,"",'Simulateur Amortissement'!B13)</f>
        <v/>
      </c>
      <c r="F219" s="20">
        <f>IF(B219="","",B219+E219)</f>
        <v/>
      </c>
      <c r="G219" s="20">
        <f>G218-D219</f>
        <v/>
      </c>
    </row>
    <row r="220">
      <c r="A220" s="17" t="n">
        <v>217</v>
      </c>
      <c r="B220" s="18">
        <f>IF(A220&gt;'Simulateur Amortissement'!B7*12,"",'Simulateur Amortissement'!B12)</f>
        <v/>
      </c>
      <c r="C220" s="18">
        <f>G219*'Simulateur Amortissement'!B6/12</f>
        <v/>
      </c>
      <c r="D220" s="18">
        <f>IF(B220="","",B220-C220)</f>
        <v/>
      </c>
      <c r="E220" s="18">
        <f>IF(A220&gt;'Simulateur Amortissement'!B7*12,"",'Simulateur Amortissement'!B13)</f>
        <v/>
      </c>
      <c r="F220" s="18">
        <f>IF(B220="","",B220+E220)</f>
        <v/>
      </c>
      <c r="G220" s="18">
        <f>G219-D220</f>
        <v/>
      </c>
    </row>
    <row r="221">
      <c r="A221" s="19" t="n">
        <v>218</v>
      </c>
      <c r="B221" s="20">
        <f>IF(A221&gt;'Simulateur Amortissement'!B7*12,"",'Simulateur Amortissement'!B12)</f>
        <v/>
      </c>
      <c r="C221" s="20">
        <f>G220*'Simulateur Amortissement'!B6/12</f>
        <v/>
      </c>
      <c r="D221" s="20">
        <f>IF(B221="","",B221-C221)</f>
        <v/>
      </c>
      <c r="E221" s="20">
        <f>IF(A221&gt;'Simulateur Amortissement'!B7*12,"",'Simulateur Amortissement'!B13)</f>
        <v/>
      </c>
      <c r="F221" s="20">
        <f>IF(B221="","",B221+E221)</f>
        <v/>
      </c>
      <c r="G221" s="20">
        <f>G220-D221</f>
        <v/>
      </c>
    </row>
    <row r="222">
      <c r="A222" s="17" t="n">
        <v>219</v>
      </c>
      <c r="B222" s="18">
        <f>IF(A222&gt;'Simulateur Amortissement'!B7*12,"",'Simulateur Amortissement'!B12)</f>
        <v/>
      </c>
      <c r="C222" s="18">
        <f>G221*'Simulateur Amortissement'!B6/12</f>
        <v/>
      </c>
      <c r="D222" s="18">
        <f>IF(B222="","",B222-C222)</f>
        <v/>
      </c>
      <c r="E222" s="18">
        <f>IF(A222&gt;'Simulateur Amortissement'!B7*12,"",'Simulateur Amortissement'!B13)</f>
        <v/>
      </c>
      <c r="F222" s="18">
        <f>IF(B222="","",B222+E222)</f>
        <v/>
      </c>
      <c r="G222" s="18">
        <f>G221-D222</f>
        <v/>
      </c>
    </row>
    <row r="223">
      <c r="A223" s="19" t="n">
        <v>220</v>
      </c>
      <c r="B223" s="20">
        <f>IF(A223&gt;'Simulateur Amortissement'!B7*12,"",'Simulateur Amortissement'!B12)</f>
        <v/>
      </c>
      <c r="C223" s="20">
        <f>G222*'Simulateur Amortissement'!B6/12</f>
        <v/>
      </c>
      <c r="D223" s="20">
        <f>IF(B223="","",B223-C223)</f>
        <v/>
      </c>
      <c r="E223" s="20">
        <f>IF(A223&gt;'Simulateur Amortissement'!B7*12,"",'Simulateur Amortissement'!B13)</f>
        <v/>
      </c>
      <c r="F223" s="20">
        <f>IF(B223="","",B223+E223)</f>
        <v/>
      </c>
      <c r="G223" s="20">
        <f>G222-D223</f>
        <v/>
      </c>
    </row>
    <row r="224">
      <c r="A224" s="17" t="n">
        <v>221</v>
      </c>
      <c r="B224" s="18">
        <f>IF(A224&gt;'Simulateur Amortissement'!B7*12,"",'Simulateur Amortissement'!B12)</f>
        <v/>
      </c>
      <c r="C224" s="18">
        <f>G223*'Simulateur Amortissement'!B6/12</f>
        <v/>
      </c>
      <c r="D224" s="18">
        <f>IF(B224="","",B224-C224)</f>
        <v/>
      </c>
      <c r="E224" s="18">
        <f>IF(A224&gt;'Simulateur Amortissement'!B7*12,"",'Simulateur Amortissement'!B13)</f>
        <v/>
      </c>
      <c r="F224" s="18">
        <f>IF(B224="","",B224+E224)</f>
        <v/>
      </c>
      <c r="G224" s="18">
        <f>G223-D224</f>
        <v/>
      </c>
    </row>
    <row r="225">
      <c r="A225" s="19" t="n">
        <v>222</v>
      </c>
      <c r="B225" s="20">
        <f>IF(A225&gt;'Simulateur Amortissement'!B7*12,"",'Simulateur Amortissement'!B12)</f>
        <v/>
      </c>
      <c r="C225" s="20">
        <f>G224*'Simulateur Amortissement'!B6/12</f>
        <v/>
      </c>
      <c r="D225" s="20">
        <f>IF(B225="","",B225-C225)</f>
        <v/>
      </c>
      <c r="E225" s="20">
        <f>IF(A225&gt;'Simulateur Amortissement'!B7*12,"",'Simulateur Amortissement'!B13)</f>
        <v/>
      </c>
      <c r="F225" s="20">
        <f>IF(B225="","",B225+E225)</f>
        <v/>
      </c>
      <c r="G225" s="20">
        <f>G224-D225</f>
        <v/>
      </c>
    </row>
    <row r="226">
      <c r="A226" s="17" t="n">
        <v>223</v>
      </c>
      <c r="B226" s="18">
        <f>IF(A226&gt;'Simulateur Amortissement'!B7*12,"",'Simulateur Amortissement'!B12)</f>
        <v/>
      </c>
      <c r="C226" s="18">
        <f>G225*'Simulateur Amortissement'!B6/12</f>
        <v/>
      </c>
      <c r="D226" s="18">
        <f>IF(B226="","",B226-C226)</f>
        <v/>
      </c>
      <c r="E226" s="18">
        <f>IF(A226&gt;'Simulateur Amortissement'!B7*12,"",'Simulateur Amortissement'!B13)</f>
        <v/>
      </c>
      <c r="F226" s="18">
        <f>IF(B226="","",B226+E226)</f>
        <v/>
      </c>
      <c r="G226" s="18">
        <f>G225-D226</f>
        <v/>
      </c>
    </row>
    <row r="227">
      <c r="A227" s="19" t="n">
        <v>224</v>
      </c>
      <c r="B227" s="20">
        <f>IF(A227&gt;'Simulateur Amortissement'!B7*12,"",'Simulateur Amortissement'!B12)</f>
        <v/>
      </c>
      <c r="C227" s="20">
        <f>G226*'Simulateur Amortissement'!B6/12</f>
        <v/>
      </c>
      <c r="D227" s="20">
        <f>IF(B227="","",B227-C227)</f>
        <v/>
      </c>
      <c r="E227" s="20">
        <f>IF(A227&gt;'Simulateur Amortissement'!B7*12,"",'Simulateur Amortissement'!B13)</f>
        <v/>
      </c>
      <c r="F227" s="20">
        <f>IF(B227="","",B227+E227)</f>
        <v/>
      </c>
      <c r="G227" s="20">
        <f>G226-D227</f>
        <v/>
      </c>
    </row>
    <row r="228">
      <c r="A228" s="17" t="n">
        <v>225</v>
      </c>
      <c r="B228" s="18">
        <f>IF(A228&gt;'Simulateur Amortissement'!B7*12,"",'Simulateur Amortissement'!B12)</f>
        <v/>
      </c>
      <c r="C228" s="18">
        <f>G227*'Simulateur Amortissement'!B6/12</f>
        <v/>
      </c>
      <c r="D228" s="18">
        <f>IF(B228="","",B228-C228)</f>
        <v/>
      </c>
      <c r="E228" s="18">
        <f>IF(A228&gt;'Simulateur Amortissement'!B7*12,"",'Simulateur Amortissement'!B13)</f>
        <v/>
      </c>
      <c r="F228" s="18">
        <f>IF(B228="","",B228+E228)</f>
        <v/>
      </c>
      <c r="G228" s="18">
        <f>G227-D228</f>
        <v/>
      </c>
    </row>
    <row r="229">
      <c r="A229" s="19" t="n">
        <v>226</v>
      </c>
      <c r="B229" s="20">
        <f>IF(A229&gt;'Simulateur Amortissement'!B7*12,"",'Simulateur Amortissement'!B12)</f>
        <v/>
      </c>
      <c r="C229" s="20">
        <f>G228*'Simulateur Amortissement'!B6/12</f>
        <v/>
      </c>
      <c r="D229" s="20">
        <f>IF(B229="","",B229-C229)</f>
        <v/>
      </c>
      <c r="E229" s="20">
        <f>IF(A229&gt;'Simulateur Amortissement'!B7*12,"",'Simulateur Amortissement'!B13)</f>
        <v/>
      </c>
      <c r="F229" s="20">
        <f>IF(B229="","",B229+E229)</f>
        <v/>
      </c>
      <c r="G229" s="20">
        <f>G228-D229</f>
        <v/>
      </c>
    </row>
    <row r="230">
      <c r="A230" s="17" t="n">
        <v>227</v>
      </c>
      <c r="B230" s="18">
        <f>IF(A230&gt;'Simulateur Amortissement'!B7*12,"",'Simulateur Amortissement'!B12)</f>
        <v/>
      </c>
      <c r="C230" s="18">
        <f>G229*'Simulateur Amortissement'!B6/12</f>
        <v/>
      </c>
      <c r="D230" s="18">
        <f>IF(B230="","",B230-C230)</f>
        <v/>
      </c>
      <c r="E230" s="18">
        <f>IF(A230&gt;'Simulateur Amortissement'!B7*12,"",'Simulateur Amortissement'!B13)</f>
        <v/>
      </c>
      <c r="F230" s="18">
        <f>IF(B230="","",B230+E230)</f>
        <v/>
      </c>
      <c r="G230" s="18">
        <f>G229-D230</f>
        <v/>
      </c>
    </row>
    <row r="231">
      <c r="A231" s="19" t="n">
        <v>228</v>
      </c>
      <c r="B231" s="20">
        <f>IF(A231&gt;'Simulateur Amortissement'!B7*12,"",'Simulateur Amortissement'!B12)</f>
        <v/>
      </c>
      <c r="C231" s="20">
        <f>G230*'Simulateur Amortissement'!B6/12</f>
        <v/>
      </c>
      <c r="D231" s="20">
        <f>IF(B231="","",B231-C231)</f>
        <v/>
      </c>
      <c r="E231" s="20">
        <f>IF(A231&gt;'Simulateur Amortissement'!B7*12,"",'Simulateur Amortissement'!B13)</f>
        <v/>
      </c>
      <c r="F231" s="20">
        <f>IF(B231="","",B231+E231)</f>
        <v/>
      </c>
      <c r="G231" s="20">
        <f>G230-D231</f>
        <v/>
      </c>
    </row>
    <row r="232">
      <c r="A232" s="17" t="n">
        <v>229</v>
      </c>
      <c r="B232" s="18">
        <f>IF(A232&gt;'Simulateur Amortissement'!B7*12,"",'Simulateur Amortissement'!B12)</f>
        <v/>
      </c>
      <c r="C232" s="18">
        <f>G231*'Simulateur Amortissement'!B6/12</f>
        <v/>
      </c>
      <c r="D232" s="18">
        <f>IF(B232="","",B232-C232)</f>
        <v/>
      </c>
      <c r="E232" s="18">
        <f>IF(A232&gt;'Simulateur Amortissement'!B7*12,"",'Simulateur Amortissement'!B13)</f>
        <v/>
      </c>
      <c r="F232" s="18">
        <f>IF(B232="","",B232+E232)</f>
        <v/>
      </c>
      <c r="G232" s="18">
        <f>G231-D232</f>
        <v/>
      </c>
    </row>
    <row r="233">
      <c r="A233" s="19" t="n">
        <v>230</v>
      </c>
      <c r="B233" s="20">
        <f>IF(A233&gt;'Simulateur Amortissement'!B7*12,"",'Simulateur Amortissement'!B12)</f>
        <v/>
      </c>
      <c r="C233" s="20">
        <f>G232*'Simulateur Amortissement'!B6/12</f>
        <v/>
      </c>
      <c r="D233" s="20">
        <f>IF(B233="","",B233-C233)</f>
        <v/>
      </c>
      <c r="E233" s="20">
        <f>IF(A233&gt;'Simulateur Amortissement'!B7*12,"",'Simulateur Amortissement'!B13)</f>
        <v/>
      </c>
      <c r="F233" s="20">
        <f>IF(B233="","",B233+E233)</f>
        <v/>
      </c>
      <c r="G233" s="20">
        <f>G232-D233</f>
        <v/>
      </c>
    </row>
    <row r="234">
      <c r="A234" s="17" t="n">
        <v>231</v>
      </c>
      <c r="B234" s="18">
        <f>IF(A234&gt;'Simulateur Amortissement'!B7*12,"",'Simulateur Amortissement'!B12)</f>
        <v/>
      </c>
      <c r="C234" s="18">
        <f>G233*'Simulateur Amortissement'!B6/12</f>
        <v/>
      </c>
      <c r="D234" s="18">
        <f>IF(B234="","",B234-C234)</f>
        <v/>
      </c>
      <c r="E234" s="18">
        <f>IF(A234&gt;'Simulateur Amortissement'!B7*12,"",'Simulateur Amortissement'!B13)</f>
        <v/>
      </c>
      <c r="F234" s="18">
        <f>IF(B234="","",B234+E234)</f>
        <v/>
      </c>
      <c r="G234" s="18">
        <f>G233-D234</f>
        <v/>
      </c>
    </row>
    <row r="235">
      <c r="A235" s="19" t="n">
        <v>232</v>
      </c>
      <c r="B235" s="20">
        <f>IF(A235&gt;'Simulateur Amortissement'!B7*12,"",'Simulateur Amortissement'!B12)</f>
        <v/>
      </c>
      <c r="C235" s="20">
        <f>G234*'Simulateur Amortissement'!B6/12</f>
        <v/>
      </c>
      <c r="D235" s="20">
        <f>IF(B235="","",B235-C235)</f>
        <v/>
      </c>
      <c r="E235" s="20">
        <f>IF(A235&gt;'Simulateur Amortissement'!B7*12,"",'Simulateur Amortissement'!B13)</f>
        <v/>
      </c>
      <c r="F235" s="20">
        <f>IF(B235="","",B235+E235)</f>
        <v/>
      </c>
      <c r="G235" s="20">
        <f>G234-D235</f>
        <v/>
      </c>
    </row>
    <row r="236">
      <c r="A236" s="17" t="n">
        <v>233</v>
      </c>
      <c r="B236" s="18">
        <f>IF(A236&gt;'Simulateur Amortissement'!B7*12,"",'Simulateur Amortissement'!B12)</f>
        <v/>
      </c>
      <c r="C236" s="18">
        <f>G235*'Simulateur Amortissement'!B6/12</f>
        <v/>
      </c>
      <c r="D236" s="18">
        <f>IF(B236="","",B236-C236)</f>
        <v/>
      </c>
      <c r="E236" s="18">
        <f>IF(A236&gt;'Simulateur Amortissement'!B7*12,"",'Simulateur Amortissement'!B13)</f>
        <v/>
      </c>
      <c r="F236" s="18">
        <f>IF(B236="","",B236+E236)</f>
        <v/>
      </c>
      <c r="G236" s="18">
        <f>G235-D236</f>
        <v/>
      </c>
    </row>
    <row r="237">
      <c r="A237" s="19" t="n">
        <v>234</v>
      </c>
      <c r="B237" s="20">
        <f>IF(A237&gt;'Simulateur Amortissement'!B7*12,"",'Simulateur Amortissement'!B12)</f>
        <v/>
      </c>
      <c r="C237" s="20">
        <f>G236*'Simulateur Amortissement'!B6/12</f>
        <v/>
      </c>
      <c r="D237" s="20">
        <f>IF(B237="","",B237-C237)</f>
        <v/>
      </c>
      <c r="E237" s="20">
        <f>IF(A237&gt;'Simulateur Amortissement'!B7*12,"",'Simulateur Amortissement'!B13)</f>
        <v/>
      </c>
      <c r="F237" s="20">
        <f>IF(B237="","",B237+E237)</f>
        <v/>
      </c>
      <c r="G237" s="20">
        <f>G236-D237</f>
        <v/>
      </c>
    </row>
    <row r="238">
      <c r="A238" s="17" t="n">
        <v>235</v>
      </c>
      <c r="B238" s="18">
        <f>IF(A238&gt;'Simulateur Amortissement'!B7*12,"",'Simulateur Amortissement'!B12)</f>
        <v/>
      </c>
      <c r="C238" s="18">
        <f>G237*'Simulateur Amortissement'!B6/12</f>
        <v/>
      </c>
      <c r="D238" s="18">
        <f>IF(B238="","",B238-C238)</f>
        <v/>
      </c>
      <c r="E238" s="18">
        <f>IF(A238&gt;'Simulateur Amortissement'!B7*12,"",'Simulateur Amortissement'!B13)</f>
        <v/>
      </c>
      <c r="F238" s="18">
        <f>IF(B238="","",B238+E238)</f>
        <v/>
      </c>
      <c r="G238" s="18">
        <f>G237-D238</f>
        <v/>
      </c>
    </row>
    <row r="239">
      <c r="A239" s="19" t="n">
        <v>236</v>
      </c>
      <c r="B239" s="20">
        <f>IF(A239&gt;'Simulateur Amortissement'!B7*12,"",'Simulateur Amortissement'!B12)</f>
        <v/>
      </c>
      <c r="C239" s="20">
        <f>G238*'Simulateur Amortissement'!B6/12</f>
        <v/>
      </c>
      <c r="D239" s="20">
        <f>IF(B239="","",B239-C239)</f>
        <v/>
      </c>
      <c r="E239" s="20">
        <f>IF(A239&gt;'Simulateur Amortissement'!B7*12,"",'Simulateur Amortissement'!B13)</f>
        <v/>
      </c>
      <c r="F239" s="20">
        <f>IF(B239="","",B239+E239)</f>
        <v/>
      </c>
      <c r="G239" s="20">
        <f>G238-D239</f>
        <v/>
      </c>
    </row>
    <row r="240">
      <c r="A240" s="17" t="n">
        <v>237</v>
      </c>
      <c r="B240" s="18">
        <f>IF(A240&gt;'Simulateur Amortissement'!B7*12,"",'Simulateur Amortissement'!B12)</f>
        <v/>
      </c>
      <c r="C240" s="18">
        <f>G239*'Simulateur Amortissement'!B6/12</f>
        <v/>
      </c>
      <c r="D240" s="18">
        <f>IF(B240="","",B240-C240)</f>
        <v/>
      </c>
      <c r="E240" s="18">
        <f>IF(A240&gt;'Simulateur Amortissement'!B7*12,"",'Simulateur Amortissement'!B13)</f>
        <v/>
      </c>
      <c r="F240" s="18">
        <f>IF(B240="","",B240+E240)</f>
        <v/>
      </c>
      <c r="G240" s="18">
        <f>G239-D240</f>
        <v/>
      </c>
    </row>
    <row r="241">
      <c r="A241" s="19" t="n">
        <v>238</v>
      </c>
      <c r="B241" s="20">
        <f>IF(A241&gt;'Simulateur Amortissement'!B7*12,"",'Simulateur Amortissement'!B12)</f>
        <v/>
      </c>
      <c r="C241" s="20">
        <f>G240*'Simulateur Amortissement'!B6/12</f>
        <v/>
      </c>
      <c r="D241" s="20">
        <f>IF(B241="","",B241-C241)</f>
        <v/>
      </c>
      <c r="E241" s="20">
        <f>IF(A241&gt;'Simulateur Amortissement'!B7*12,"",'Simulateur Amortissement'!B13)</f>
        <v/>
      </c>
      <c r="F241" s="20">
        <f>IF(B241="","",B241+E241)</f>
        <v/>
      </c>
      <c r="G241" s="20">
        <f>G240-D241</f>
        <v/>
      </c>
    </row>
    <row r="242">
      <c r="A242" s="17" t="n">
        <v>239</v>
      </c>
      <c r="B242" s="18">
        <f>IF(A242&gt;'Simulateur Amortissement'!B7*12,"",'Simulateur Amortissement'!B12)</f>
        <v/>
      </c>
      <c r="C242" s="18">
        <f>G241*'Simulateur Amortissement'!B6/12</f>
        <v/>
      </c>
      <c r="D242" s="18">
        <f>IF(B242="","",B242-C242)</f>
        <v/>
      </c>
      <c r="E242" s="18">
        <f>IF(A242&gt;'Simulateur Amortissement'!B7*12,"",'Simulateur Amortissement'!B13)</f>
        <v/>
      </c>
      <c r="F242" s="18">
        <f>IF(B242="","",B242+E242)</f>
        <v/>
      </c>
      <c r="G242" s="18">
        <f>G241-D242</f>
        <v/>
      </c>
    </row>
    <row r="243">
      <c r="A243" s="19" t="n">
        <v>240</v>
      </c>
      <c r="B243" s="20">
        <f>IF(A243&gt;'Simulateur Amortissement'!B7*12,"",'Simulateur Amortissement'!B12)</f>
        <v/>
      </c>
      <c r="C243" s="20">
        <f>G242*'Simulateur Amortissement'!B6/12</f>
        <v/>
      </c>
      <c r="D243" s="20">
        <f>IF(B243="","",B243-C243)</f>
        <v/>
      </c>
      <c r="E243" s="20">
        <f>IF(A243&gt;'Simulateur Amortissement'!B7*12,"",'Simulateur Amortissement'!B13)</f>
        <v/>
      </c>
      <c r="F243" s="20">
        <f>IF(B243="","",B243+E243)</f>
        <v/>
      </c>
      <c r="G243" s="20">
        <f>G242-D243</f>
        <v/>
      </c>
    </row>
    <row r="244">
      <c r="A244" s="17" t="n">
        <v>241</v>
      </c>
      <c r="B244" s="18">
        <f>IF(A244&gt;'Simulateur Amortissement'!B7*12,"",'Simulateur Amortissement'!B12)</f>
        <v/>
      </c>
      <c r="C244" s="18">
        <f>G243*'Simulateur Amortissement'!B6/12</f>
        <v/>
      </c>
      <c r="D244" s="18">
        <f>IF(B244="","",B244-C244)</f>
        <v/>
      </c>
      <c r="E244" s="18">
        <f>IF(A244&gt;'Simulateur Amortissement'!B7*12,"",'Simulateur Amortissement'!B13)</f>
        <v/>
      </c>
      <c r="F244" s="18">
        <f>IF(B244="","",B244+E244)</f>
        <v/>
      </c>
      <c r="G244" s="18">
        <f>G243-D244</f>
        <v/>
      </c>
    </row>
    <row r="245">
      <c r="A245" s="19" t="n">
        <v>242</v>
      </c>
      <c r="B245" s="20">
        <f>IF(A245&gt;'Simulateur Amortissement'!B7*12,"",'Simulateur Amortissement'!B12)</f>
        <v/>
      </c>
      <c r="C245" s="20">
        <f>G244*'Simulateur Amortissement'!B6/12</f>
        <v/>
      </c>
      <c r="D245" s="20">
        <f>IF(B245="","",B245-C245)</f>
        <v/>
      </c>
      <c r="E245" s="20">
        <f>IF(A245&gt;'Simulateur Amortissement'!B7*12,"",'Simulateur Amortissement'!B13)</f>
        <v/>
      </c>
      <c r="F245" s="20">
        <f>IF(B245="","",B245+E245)</f>
        <v/>
      </c>
      <c r="G245" s="20">
        <f>G244-D245</f>
        <v/>
      </c>
    </row>
    <row r="246">
      <c r="A246" s="17" t="n">
        <v>243</v>
      </c>
      <c r="B246" s="18">
        <f>IF(A246&gt;'Simulateur Amortissement'!B7*12,"",'Simulateur Amortissement'!B12)</f>
        <v/>
      </c>
      <c r="C246" s="18">
        <f>G245*'Simulateur Amortissement'!B6/12</f>
        <v/>
      </c>
      <c r="D246" s="18">
        <f>IF(B246="","",B246-C246)</f>
        <v/>
      </c>
      <c r="E246" s="18">
        <f>IF(A246&gt;'Simulateur Amortissement'!B7*12,"",'Simulateur Amortissement'!B13)</f>
        <v/>
      </c>
      <c r="F246" s="18">
        <f>IF(B246="","",B246+E246)</f>
        <v/>
      </c>
      <c r="G246" s="18">
        <f>G245-D246</f>
        <v/>
      </c>
    </row>
    <row r="247">
      <c r="A247" s="19" t="n">
        <v>244</v>
      </c>
      <c r="B247" s="20">
        <f>IF(A247&gt;'Simulateur Amortissement'!B7*12,"",'Simulateur Amortissement'!B12)</f>
        <v/>
      </c>
      <c r="C247" s="20">
        <f>G246*'Simulateur Amortissement'!B6/12</f>
        <v/>
      </c>
      <c r="D247" s="20">
        <f>IF(B247="","",B247-C247)</f>
        <v/>
      </c>
      <c r="E247" s="20">
        <f>IF(A247&gt;'Simulateur Amortissement'!B7*12,"",'Simulateur Amortissement'!B13)</f>
        <v/>
      </c>
      <c r="F247" s="20">
        <f>IF(B247="","",B247+E247)</f>
        <v/>
      </c>
      <c r="G247" s="20">
        <f>G246-D247</f>
        <v/>
      </c>
    </row>
    <row r="248">
      <c r="A248" s="17" t="n">
        <v>245</v>
      </c>
      <c r="B248" s="18">
        <f>IF(A248&gt;'Simulateur Amortissement'!B7*12,"",'Simulateur Amortissement'!B12)</f>
        <v/>
      </c>
      <c r="C248" s="18">
        <f>G247*'Simulateur Amortissement'!B6/12</f>
        <v/>
      </c>
      <c r="D248" s="18">
        <f>IF(B248="","",B248-C248)</f>
        <v/>
      </c>
      <c r="E248" s="18">
        <f>IF(A248&gt;'Simulateur Amortissement'!B7*12,"",'Simulateur Amortissement'!B13)</f>
        <v/>
      </c>
      <c r="F248" s="18">
        <f>IF(B248="","",B248+E248)</f>
        <v/>
      </c>
      <c r="G248" s="18">
        <f>G247-D248</f>
        <v/>
      </c>
    </row>
    <row r="249">
      <c r="A249" s="19" t="n">
        <v>246</v>
      </c>
      <c r="B249" s="20">
        <f>IF(A249&gt;'Simulateur Amortissement'!B7*12,"",'Simulateur Amortissement'!B12)</f>
        <v/>
      </c>
      <c r="C249" s="20">
        <f>G248*'Simulateur Amortissement'!B6/12</f>
        <v/>
      </c>
      <c r="D249" s="20">
        <f>IF(B249="","",B249-C249)</f>
        <v/>
      </c>
      <c r="E249" s="20">
        <f>IF(A249&gt;'Simulateur Amortissement'!B7*12,"",'Simulateur Amortissement'!B13)</f>
        <v/>
      </c>
      <c r="F249" s="20">
        <f>IF(B249="","",B249+E249)</f>
        <v/>
      </c>
      <c r="G249" s="20">
        <f>G248-D249</f>
        <v/>
      </c>
    </row>
    <row r="250">
      <c r="A250" s="17" t="n">
        <v>247</v>
      </c>
      <c r="B250" s="18">
        <f>IF(A250&gt;'Simulateur Amortissement'!B7*12,"",'Simulateur Amortissement'!B12)</f>
        <v/>
      </c>
      <c r="C250" s="18">
        <f>G249*'Simulateur Amortissement'!B6/12</f>
        <v/>
      </c>
      <c r="D250" s="18">
        <f>IF(B250="","",B250-C250)</f>
        <v/>
      </c>
      <c r="E250" s="18">
        <f>IF(A250&gt;'Simulateur Amortissement'!B7*12,"",'Simulateur Amortissement'!B13)</f>
        <v/>
      </c>
      <c r="F250" s="18">
        <f>IF(B250="","",B250+E250)</f>
        <v/>
      </c>
      <c r="G250" s="18">
        <f>G249-D250</f>
        <v/>
      </c>
    </row>
    <row r="251">
      <c r="A251" s="19" t="n">
        <v>248</v>
      </c>
      <c r="B251" s="20">
        <f>IF(A251&gt;'Simulateur Amortissement'!B7*12,"",'Simulateur Amortissement'!B12)</f>
        <v/>
      </c>
      <c r="C251" s="20">
        <f>G250*'Simulateur Amortissement'!B6/12</f>
        <v/>
      </c>
      <c r="D251" s="20">
        <f>IF(B251="","",B251-C251)</f>
        <v/>
      </c>
      <c r="E251" s="20">
        <f>IF(A251&gt;'Simulateur Amortissement'!B7*12,"",'Simulateur Amortissement'!B13)</f>
        <v/>
      </c>
      <c r="F251" s="20">
        <f>IF(B251="","",B251+E251)</f>
        <v/>
      </c>
      <c r="G251" s="20">
        <f>G250-D251</f>
        <v/>
      </c>
    </row>
    <row r="252">
      <c r="A252" s="17" t="n">
        <v>249</v>
      </c>
      <c r="B252" s="18">
        <f>IF(A252&gt;'Simulateur Amortissement'!B7*12,"",'Simulateur Amortissement'!B12)</f>
        <v/>
      </c>
      <c r="C252" s="18">
        <f>G251*'Simulateur Amortissement'!B6/12</f>
        <v/>
      </c>
      <c r="D252" s="18">
        <f>IF(B252="","",B252-C252)</f>
        <v/>
      </c>
      <c r="E252" s="18">
        <f>IF(A252&gt;'Simulateur Amortissement'!B7*12,"",'Simulateur Amortissement'!B13)</f>
        <v/>
      </c>
      <c r="F252" s="18">
        <f>IF(B252="","",B252+E252)</f>
        <v/>
      </c>
      <c r="G252" s="18">
        <f>G251-D252</f>
        <v/>
      </c>
    </row>
    <row r="253">
      <c r="A253" s="19" t="n">
        <v>250</v>
      </c>
      <c r="B253" s="20">
        <f>IF(A253&gt;'Simulateur Amortissement'!B7*12,"",'Simulateur Amortissement'!B12)</f>
        <v/>
      </c>
      <c r="C253" s="20">
        <f>G252*'Simulateur Amortissement'!B6/12</f>
        <v/>
      </c>
      <c r="D253" s="20">
        <f>IF(B253="","",B253-C253)</f>
        <v/>
      </c>
      <c r="E253" s="20">
        <f>IF(A253&gt;'Simulateur Amortissement'!B7*12,"",'Simulateur Amortissement'!B13)</f>
        <v/>
      </c>
      <c r="F253" s="20">
        <f>IF(B253="","",B253+E253)</f>
        <v/>
      </c>
      <c r="G253" s="20">
        <f>G252-D253</f>
        <v/>
      </c>
    </row>
    <row r="254">
      <c r="A254" s="17" t="n">
        <v>251</v>
      </c>
      <c r="B254" s="18">
        <f>IF(A254&gt;'Simulateur Amortissement'!B7*12,"",'Simulateur Amortissement'!B12)</f>
        <v/>
      </c>
      <c r="C254" s="18">
        <f>G253*'Simulateur Amortissement'!B6/12</f>
        <v/>
      </c>
      <c r="D254" s="18">
        <f>IF(B254="","",B254-C254)</f>
        <v/>
      </c>
      <c r="E254" s="18">
        <f>IF(A254&gt;'Simulateur Amortissement'!B7*12,"",'Simulateur Amortissement'!B13)</f>
        <v/>
      </c>
      <c r="F254" s="18">
        <f>IF(B254="","",B254+E254)</f>
        <v/>
      </c>
      <c r="G254" s="18">
        <f>G253-D254</f>
        <v/>
      </c>
    </row>
    <row r="255">
      <c r="A255" s="19" t="n">
        <v>252</v>
      </c>
      <c r="B255" s="20">
        <f>IF(A255&gt;'Simulateur Amortissement'!B7*12,"",'Simulateur Amortissement'!B12)</f>
        <v/>
      </c>
      <c r="C255" s="20">
        <f>G254*'Simulateur Amortissement'!B6/12</f>
        <v/>
      </c>
      <c r="D255" s="20">
        <f>IF(B255="","",B255-C255)</f>
        <v/>
      </c>
      <c r="E255" s="20">
        <f>IF(A255&gt;'Simulateur Amortissement'!B7*12,"",'Simulateur Amortissement'!B13)</f>
        <v/>
      </c>
      <c r="F255" s="20">
        <f>IF(B255="","",B255+E255)</f>
        <v/>
      </c>
      <c r="G255" s="20">
        <f>G254-D255</f>
        <v/>
      </c>
    </row>
    <row r="256">
      <c r="A256" s="17" t="n">
        <v>253</v>
      </c>
      <c r="B256" s="18">
        <f>IF(A256&gt;'Simulateur Amortissement'!B7*12,"",'Simulateur Amortissement'!B12)</f>
        <v/>
      </c>
      <c r="C256" s="18">
        <f>G255*'Simulateur Amortissement'!B6/12</f>
        <v/>
      </c>
      <c r="D256" s="18">
        <f>IF(B256="","",B256-C256)</f>
        <v/>
      </c>
      <c r="E256" s="18">
        <f>IF(A256&gt;'Simulateur Amortissement'!B7*12,"",'Simulateur Amortissement'!B13)</f>
        <v/>
      </c>
      <c r="F256" s="18">
        <f>IF(B256="","",B256+E256)</f>
        <v/>
      </c>
      <c r="G256" s="18">
        <f>G255-D256</f>
        <v/>
      </c>
    </row>
    <row r="257">
      <c r="A257" s="19" t="n">
        <v>254</v>
      </c>
      <c r="B257" s="20">
        <f>IF(A257&gt;'Simulateur Amortissement'!B7*12,"",'Simulateur Amortissement'!B12)</f>
        <v/>
      </c>
      <c r="C257" s="20">
        <f>G256*'Simulateur Amortissement'!B6/12</f>
        <v/>
      </c>
      <c r="D257" s="20">
        <f>IF(B257="","",B257-C257)</f>
        <v/>
      </c>
      <c r="E257" s="20">
        <f>IF(A257&gt;'Simulateur Amortissement'!B7*12,"",'Simulateur Amortissement'!B13)</f>
        <v/>
      </c>
      <c r="F257" s="20">
        <f>IF(B257="","",B257+E257)</f>
        <v/>
      </c>
      <c r="G257" s="20">
        <f>G256-D257</f>
        <v/>
      </c>
    </row>
    <row r="258">
      <c r="A258" s="17" t="n">
        <v>255</v>
      </c>
      <c r="B258" s="18">
        <f>IF(A258&gt;'Simulateur Amortissement'!B7*12,"",'Simulateur Amortissement'!B12)</f>
        <v/>
      </c>
      <c r="C258" s="18">
        <f>G257*'Simulateur Amortissement'!B6/12</f>
        <v/>
      </c>
      <c r="D258" s="18">
        <f>IF(B258="","",B258-C258)</f>
        <v/>
      </c>
      <c r="E258" s="18">
        <f>IF(A258&gt;'Simulateur Amortissement'!B7*12,"",'Simulateur Amortissement'!B13)</f>
        <v/>
      </c>
      <c r="F258" s="18">
        <f>IF(B258="","",B258+E258)</f>
        <v/>
      </c>
      <c r="G258" s="18">
        <f>G257-D258</f>
        <v/>
      </c>
    </row>
    <row r="259">
      <c r="A259" s="19" t="n">
        <v>256</v>
      </c>
      <c r="B259" s="20">
        <f>IF(A259&gt;'Simulateur Amortissement'!B7*12,"",'Simulateur Amortissement'!B12)</f>
        <v/>
      </c>
      <c r="C259" s="20">
        <f>G258*'Simulateur Amortissement'!B6/12</f>
        <v/>
      </c>
      <c r="D259" s="20">
        <f>IF(B259="","",B259-C259)</f>
        <v/>
      </c>
      <c r="E259" s="20">
        <f>IF(A259&gt;'Simulateur Amortissement'!B7*12,"",'Simulateur Amortissement'!B13)</f>
        <v/>
      </c>
      <c r="F259" s="20">
        <f>IF(B259="","",B259+E259)</f>
        <v/>
      </c>
      <c r="G259" s="20">
        <f>G258-D259</f>
        <v/>
      </c>
    </row>
    <row r="260">
      <c r="A260" s="17" t="n">
        <v>257</v>
      </c>
      <c r="B260" s="18">
        <f>IF(A260&gt;'Simulateur Amortissement'!B7*12,"",'Simulateur Amortissement'!B12)</f>
        <v/>
      </c>
      <c r="C260" s="18">
        <f>G259*'Simulateur Amortissement'!B6/12</f>
        <v/>
      </c>
      <c r="D260" s="18">
        <f>IF(B260="","",B260-C260)</f>
        <v/>
      </c>
      <c r="E260" s="18">
        <f>IF(A260&gt;'Simulateur Amortissement'!B7*12,"",'Simulateur Amortissement'!B13)</f>
        <v/>
      </c>
      <c r="F260" s="18">
        <f>IF(B260="","",B260+E260)</f>
        <v/>
      </c>
      <c r="G260" s="18">
        <f>G259-D260</f>
        <v/>
      </c>
    </row>
    <row r="261">
      <c r="A261" s="19" t="n">
        <v>258</v>
      </c>
      <c r="B261" s="20">
        <f>IF(A261&gt;'Simulateur Amortissement'!B7*12,"",'Simulateur Amortissement'!B12)</f>
        <v/>
      </c>
      <c r="C261" s="20">
        <f>G260*'Simulateur Amortissement'!B6/12</f>
        <v/>
      </c>
      <c r="D261" s="20">
        <f>IF(B261="","",B261-C261)</f>
        <v/>
      </c>
      <c r="E261" s="20">
        <f>IF(A261&gt;'Simulateur Amortissement'!B7*12,"",'Simulateur Amortissement'!B13)</f>
        <v/>
      </c>
      <c r="F261" s="20">
        <f>IF(B261="","",B261+E261)</f>
        <v/>
      </c>
      <c r="G261" s="20">
        <f>G260-D261</f>
        <v/>
      </c>
    </row>
    <row r="262">
      <c r="A262" s="17" t="n">
        <v>259</v>
      </c>
      <c r="B262" s="18">
        <f>IF(A262&gt;'Simulateur Amortissement'!B7*12,"",'Simulateur Amortissement'!B12)</f>
        <v/>
      </c>
      <c r="C262" s="18">
        <f>G261*'Simulateur Amortissement'!B6/12</f>
        <v/>
      </c>
      <c r="D262" s="18">
        <f>IF(B262="","",B262-C262)</f>
        <v/>
      </c>
      <c r="E262" s="18">
        <f>IF(A262&gt;'Simulateur Amortissement'!B7*12,"",'Simulateur Amortissement'!B13)</f>
        <v/>
      </c>
      <c r="F262" s="18">
        <f>IF(B262="","",B262+E262)</f>
        <v/>
      </c>
      <c r="G262" s="18">
        <f>G261-D262</f>
        <v/>
      </c>
    </row>
    <row r="263">
      <c r="A263" s="19" t="n">
        <v>260</v>
      </c>
      <c r="B263" s="20">
        <f>IF(A263&gt;'Simulateur Amortissement'!B7*12,"",'Simulateur Amortissement'!B12)</f>
        <v/>
      </c>
      <c r="C263" s="20">
        <f>G262*'Simulateur Amortissement'!B6/12</f>
        <v/>
      </c>
      <c r="D263" s="20">
        <f>IF(B263="","",B263-C263)</f>
        <v/>
      </c>
      <c r="E263" s="20">
        <f>IF(A263&gt;'Simulateur Amortissement'!B7*12,"",'Simulateur Amortissement'!B13)</f>
        <v/>
      </c>
      <c r="F263" s="20">
        <f>IF(B263="","",B263+E263)</f>
        <v/>
      </c>
      <c r="G263" s="20">
        <f>G262-D263</f>
        <v/>
      </c>
    </row>
    <row r="264">
      <c r="A264" s="17" t="n">
        <v>261</v>
      </c>
      <c r="B264" s="18">
        <f>IF(A264&gt;'Simulateur Amortissement'!B7*12,"",'Simulateur Amortissement'!B12)</f>
        <v/>
      </c>
      <c r="C264" s="18">
        <f>G263*'Simulateur Amortissement'!B6/12</f>
        <v/>
      </c>
      <c r="D264" s="18">
        <f>IF(B264="","",B264-C264)</f>
        <v/>
      </c>
      <c r="E264" s="18">
        <f>IF(A264&gt;'Simulateur Amortissement'!B7*12,"",'Simulateur Amortissement'!B13)</f>
        <v/>
      </c>
      <c r="F264" s="18">
        <f>IF(B264="","",B264+E264)</f>
        <v/>
      </c>
      <c r="G264" s="18">
        <f>G263-D264</f>
        <v/>
      </c>
    </row>
    <row r="265">
      <c r="A265" s="19" t="n">
        <v>262</v>
      </c>
      <c r="B265" s="20">
        <f>IF(A265&gt;'Simulateur Amortissement'!B7*12,"",'Simulateur Amortissement'!B12)</f>
        <v/>
      </c>
      <c r="C265" s="20">
        <f>G264*'Simulateur Amortissement'!B6/12</f>
        <v/>
      </c>
      <c r="D265" s="20">
        <f>IF(B265="","",B265-C265)</f>
        <v/>
      </c>
      <c r="E265" s="20">
        <f>IF(A265&gt;'Simulateur Amortissement'!B7*12,"",'Simulateur Amortissement'!B13)</f>
        <v/>
      </c>
      <c r="F265" s="20">
        <f>IF(B265="","",B265+E265)</f>
        <v/>
      </c>
      <c r="G265" s="20">
        <f>G264-D265</f>
        <v/>
      </c>
    </row>
    <row r="266">
      <c r="A266" s="17" t="n">
        <v>263</v>
      </c>
      <c r="B266" s="18">
        <f>IF(A266&gt;'Simulateur Amortissement'!B7*12,"",'Simulateur Amortissement'!B12)</f>
        <v/>
      </c>
      <c r="C266" s="18">
        <f>G265*'Simulateur Amortissement'!B6/12</f>
        <v/>
      </c>
      <c r="D266" s="18">
        <f>IF(B266="","",B266-C266)</f>
        <v/>
      </c>
      <c r="E266" s="18">
        <f>IF(A266&gt;'Simulateur Amortissement'!B7*12,"",'Simulateur Amortissement'!B13)</f>
        <v/>
      </c>
      <c r="F266" s="18">
        <f>IF(B266="","",B266+E266)</f>
        <v/>
      </c>
      <c r="G266" s="18">
        <f>G265-D266</f>
        <v/>
      </c>
    </row>
    <row r="267">
      <c r="A267" s="19" t="n">
        <v>264</v>
      </c>
      <c r="B267" s="20">
        <f>IF(A267&gt;'Simulateur Amortissement'!B7*12,"",'Simulateur Amortissement'!B12)</f>
        <v/>
      </c>
      <c r="C267" s="20">
        <f>G266*'Simulateur Amortissement'!B6/12</f>
        <v/>
      </c>
      <c r="D267" s="20">
        <f>IF(B267="","",B267-C267)</f>
        <v/>
      </c>
      <c r="E267" s="20">
        <f>IF(A267&gt;'Simulateur Amortissement'!B7*12,"",'Simulateur Amortissement'!B13)</f>
        <v/>
      </c>
      <c r="F267" s="20">
        <f>IF(B267="","",B267+E267)</f>
        <v/>
      </c>
      <c r="G267" s="20">
        <f>G266-D267</f>
        <v/>
      </c>
    </row>
    <row r="268">
      <c r="A268" s="17" t="n">
        <v>265</v>
      </c>
      <c r="B268" s="18">
        <f>IF(A268&gt;'Simulateur Amortissement'!B7*12,"",'Simulateur Amortissement'!B12)</f>
        <v/>
      </c>
      <c r="C268" s="18">
        <f>G267*'Simulateur Amortissement'!B6/12</f>
        <v/>
      </c>
      <c r="D268" s="18">
        <f>IF(B268="","",B268-C268)</f>
        <v/>
      </c>
      <c r="E268" s="18">
        <f>IF(A268&gt;'Simulateur Amortissement'!B7*12,"",'Simulateur Amortissement'!B13)</f>
        <v/>
      </c>
      <c r="F268" s="18">
        <f>IF(B268="","",B268+E268)</f>
        <v/>
      </c>
      <c r="G268" s="18">
        <f>G267-D268</f>
        <v/>
      </c>
    </row>
    <row r="269">
      <c r="A269" s="19" t="n">
        <v>266</v>
      </c>
      <c r="B269" s="20">
        <f>IF(A269&gt;'Simulateur Amortissement'!B7*12,"",'Simulateur Amortissement'!B12)</f>
        <v/>
      </c>
      <c r="C269" s="20">
        <f>G268*'Simulateur Amortissement'!B6/12</f>
        <v/>
      </c>
      <c r="D269" s="20">
        <f>IF(B269="","",B269-C269)</f>
        <v/>
      </c>
      <c r="E269" s="20">
        <f>IF(A269&gt;'Simulateur Amortissement'!B7*12,"",'Simulateur Amortissement'!B13)</f>
        <v/>
      </c>
      <c r="F269" s="20">
        <f>IF(B269="","",B269+E269)</f>
        <v/>
      </c>
      <c r="G269" s="20">
        <f>G268-D269</f>
        <v/>
      </c>
    </row>
    <row r="270">
      <c r="A270" s="17" t="n">
        <v>267</v>
      </c>
      <c r="B270" s="18">
        <f>IF(A270&gt;'Simulateur Amortissement'!B7*12,"",'Simulateur Amortissement'!B12)</f>
        <v/>
      </c>
      <c r="C270" s="18">
        <f>G269*'Simulateur Amortissement'!B6/12</f>
        <v/>
      </c>
      <c r="D270" s="18">
        <f>IF(B270="","",B270-C270)</f>
        <v/>
      </c>
      <c r="E270" s="18">
        <f>IF(A270&gt;'Simulateur Amortissement'!B7*12,"",'Simulateur Amortissement'!B13)</f>
        <v/>
      </c>
      <c r="F270" s="18">
        <f>IF(B270="","",B270+E270)</f>
        <v/>
      </c>
      <c r="G270" s="18">
        <f>G269-D270</f>
        <v/>
      </c>
    </row>
    <row r="271">
      <c r="A271" s="19" t="n">
        <v>268</v>
      </c>
      <c r="B271" s="20">
        <f>IF(A271&gt;'Simulateur Amortissement'!B7*12,"",'Simulateur Amortissement'!B12)</f>
        <v/>
      </c>
      <c r="C271" s="20">
        <f>G270*'Simulateur Amortissement'!B6/12</f>
        <v/>
      </c>
      <c r="D271" s="20">
        <f>IF(B271="","",B271-C271)</f>
        <v/>
      </c>
      <c r="E271" s="20">
        <f>IF(A271&gt;'Simulateur Amortissement'!B7*12,"",'Simulateur Amortissement'!B13)</f>
        <v/>
      </c>
      <c r="F271" s="20">
        <f>IF(B271="","",B271+E271)</f>
        <v/>
      </c>
      <c r="G271" s="20">
        <f>G270-D271</f>
        <v/>
      </c>
    </row>
    <row r="272">
      <c r="A272" s="17" t="n">
        <v>269</v>
      </c>
      <c r="B272" s="18">
        <f>IF(A272&gt;'Simulateur Amortissement'!B7*12,"",'Simulateur Amortissement'!B12)</f>
        <v/>
      </c>
      <c r="C272" s="18">
        <f>G271*'Simulateur Amortissement'!B6/12</f>
        <v/>
      </c>
      <c r="D272" s="18">
        <f>IF(B272="","",B272-C272)</f>
        <v/>
      </c>
      <c r="E272" s="18">
        <f>IF(A272&gt;'Simulateur Amortissement'!B7*12,"",'Simulateur Amortissement'!B13)</f>
        <v/>
      </c>
      <c r="F272" s="18">
        <f>IF(B272="","",B272+E272)</f>
        <v/>
      </c>
      <c r="G272" s="18">
        <f>G271-D272</f>
        <v/>
      </c>
    </row>
    <row r="273">
      <c r="A273" s="19" t="n">
        <v>270</v>
      </c>
      <c r="B273" s="20">
        <f>IF(A273&gt;'Simulateur Amortissement'!B7*12,"",'Simulateur Amortissement'!B12)</f>
        <v/>
      </c>
      <c r="C273" s="20">
        <f>G272*'Simulateur Amortissement'!B6/12</f>
        <v/>
      </c>
      <c r="D273" s="20">
        <f>IF(B273="","",B273-C273)</f>
        <v/>
      </c>
      <c r="E273" s="20">
        <f>IF(A273&gt;'Simulateur Amortissement'!B7*12,"",'Simulateur Amortissement'!B13)</f>
        <v/>
      </c>
      <c r="F273" s="20">
        <f>IF(B273="","",B273+E273)</f>
        <v/>
      </c>
      <c r="G273" s="20">
        <f>G272-D273</f>
        <v/>
      </c>
    </row>
    <row r="274">
      <c r="A274" s="17" t="n">
        <v>271</v>
      </c>
      <c r="B274" s="18">
        <f>IF(A274&gt;'Simulateur Amortissement'!B7*12,"",'Simulateur Amortissement'!B12)</f>
        <v/>
      </c>
      <c r="C274" s="18">
        <f>G273*'Simulateur Amortissement'!B6/12</f>
        <v/>
      </c>
      <c r="D274" s="18">
        <f>IF(B274="","",B274-C274)</f>
        <v/>
      </c>
      <c r="E274" s="18">
        <f>IF(A274&gt;'Simulateur Amortissement'!B7*12,"",'Simulateur Amortissement'!B13)</f>
        <v/>
      </c>
      <c r="F274" s="18">
        <f>IF(B274="","",B274+E274)</f>
        <v/>
      </c>
      <c r="G274" s="18">
        <f>G273-D274</f>
        <v/>
      </c>
    </row>
    <row r="275">
      <c r="A275" s="19" t="n">
        <v>272</v>
      </c>
      <c r="B275" s="20">
        <f>IF(A275&gt;'Simulateur Amortissement'!B7*12,"",'Simulateur Amortissement'!B12)</f>
        <v/>
      </c>
      <c r="C275" s="20">
        <f>G274*'Simulateur Amortissement'!B6/12</f>
        <v/>
      </c>
      <c r="D275" s="20">
        <f>IF(B275="","",B275-C275)</f>
        <v/>
      </c>
      <c r="E275" s="20">
        <f>IF(A275&gt;'Simulateur Amortissement'!B7*12,"",'Simulateur Amortissement'!B13)</f>
        <v/>
      </c>
      <c r="F275" s="20">
        <f>IF(B275="","",B275+E275)</f>
        <v/>
      </c>
      <c r="G275" s="20">
        <f>G274-D275</f>
        <v/>
      </c>
    </row>
    <row r="276">
      <c r="A276" s="17" t="n">
        <v>273</v>
      </c>
      <c r="B276" s="18">
        <f>IF(A276&gt;'Simulateur Amortissement'!B7*12,"",'Simulateur Amortissement'!B12)</f>
        <v/>
      </c>
      <c r="C276" s="18">
        <f>G275*'Simulateur Amortissement'!B6/12</f>
        <v/>
      </c>
      <c r="D276" s="18">
        <f>IF(B276="","",B276-C276)</f>
        <v/>
      </c>
      <c r="E276" s="18">
        <f>IF(A276&gt;'Simulateur Amortissement'!B7*12,"",'Simulateur Amortissement'!B13)</f>
        <v/>
      </c>
      <c r="F276" s="18">
        <f>IF(B276="","",B276+E276)</f>
        <v/>
      </c>
      <c r="G276" s="18">
        <f>G275-D276</f>
        <v/>
      </c>
    </row>
    <row r="277">
      <c r="A277" s="19" t="n">
        <v>274</v>
      </c>
      <c r="B277" s="20">
        <f>IF(A277&gt;'Simulateur Amortissement'!B7*12,"",'Simulateur Amortissement'!B12)</f>
        <v/>
      </c>
      <c r="C277" s="20">
        <f>G276*'Simulateur Amortissement'!B6/12</f>
        <v/>
      </c>
      <c r="D277" s="20">
        <f>IF(B277="","",B277-C277)</f>
        <v/>
      </c>
      <c r="E277" s="20">
        <f>IF(A277&gt;'Simulateur Amortissement'!B7*12,"",'Simulateur Amortissement'!B13)</f>
        <v/>
      </c>
      <c r="F277" s="20">
        <f>IF(B277="","",B277+E277)</f>
        <v/>
      </c>
      <c r="G277" s="20">
        <f>G276-D277</f>
        <v/>
      </c>
    </row>
    <row r="278">
      <c r="A278" s="17" t="n">
        <v>275</v>
      </c>
      <c r="B278" s="18">
        <f>IF(A278&gt;'Simulateur Amortissement'!B7*12,"",'Simulateur Amortissement'!B12)</f>
        <v/>
      </c>
      <c r="C278" s="18">
        <f>G277*'Simulateur Amortissement'!B6/12</f>
        <v/>
      </c>
      <c r="D278" s="18">
        <f>IF(B278="","",B278-C278)</f>
        <v/>
      </c>
      <c r="E278" s="18">
        <f>IF(A278&gt;'Simulateur Amortissement'!B7*12,"",'Simulateur Amortissement'!B13)</f>
        <v/>
      </c>
      <c r="F278" s="18">
        <f>IF(B278="","",B278+E278)</f>
        <v/>
      </c>
      <c r="G278" s="18">
        <f>G277-D278</f>
        <v/>
      </c>
    </row>
    <row r="279">
      <c r="A279" s="19" t="n">
        <v>276</v>
      </c>
      <c r="B279" s="20">
        <f>IF(A279&gt;'Simulateur Amortissement'!B7*12,"",'Simulateur Amortissement'!B12)</f>
        <v/>
      </c>
      <c r="C279" s="20">
        <f>G278*'Simulateur Amortissement'!B6/12</f>
        <v/>
      </c>
      <c r="D279" s="20">
        <f>IF(B279="","",B279-C279)</f>
        <v/>
      </c>
      <c r="E279" s="20">
        <f>IF(A279&gt;'Simulateur Amortissement'!B7*12,"",'Simulateur Amortissement'!B13)</f>
        <v/>
      </c>
      <c r="F279" s="20">
        <f>IF(B279="","",B279+E279)</f>
        <v/>
      </c>
      <c r="G279" s="20">
        <f>G278-D279</f>
        <v/>
      </c>
    </row>
    <row r="280">
      <c r="A280" s="17" t="n">
        <v>277</v>
      </c>
      <c r="B280" s="18">
        <f>IF(A280&gt;'Simulateur Amortissement'!B7*12,"",'Simulateur Amortissement'!B12)</f>
        <v/>
      </c>
      <c r="C280" s="18">
        <f>G279*'Simulateur Amortissement'!B6/12</f>
        <v/>
      </c>
      <c r="D280" s="18">
        <f>IF(B280="","",B280-C280)</f>
        <v/>
      </c>
      <c r="E280" s="18">
        <f>IF(A280&gt;'Simulateur Amortissement'!B7*12,"",'Simulateur Amortissement'!B13)</f>
        <v/>
      </c>
      <c r="F280" s="18">
        <f>IF(B280="","",B280+E280)</f>
        <v/>
      </c>
      <c r="G280" s="18">
        <f>G279-D280</f>
        <v/>
      </c>
    </row>
    <row r="281">
      <c r="A281" s="19" t="n">
        <v>278</v>
      </c>
      <c r="B281" s="20">
        <f>IF(A281&gt;'Simulateur Amortissement'!B7*12,"",'Simulateur Amortissement'!B12)</f>
        <v/>
      </c>
      <c r="C281" s="20">
        <f>G280*'Simulateur Amortissement'!B6/12</f>
        <v/>
      </c>
      <c r="D281" s="20">
        <f>IF(B281="","",B281-C281)</f>
        <v/>
      </c>
      <c r="E281" s="20">
        <f>IF(A281&gt;'Simulateur Amortissement'!B7*12,"",'Simulateur Amortissement'!B13)</f>
        <v/>
      </c>
      <c r="F281" s="20">
        <f>IF(B281="","",B281+E281)</f>
        <v/>
      </c>
      <c r="G281" s="20">
        <f>G280-D281</f>
        <v/>
      </c>
    </row>
    <row r="282">
      <c r="A282" s="17" t="n">
        <v>279</v>
      </c>
      <c r="B282" s="18">
        <f>IF(A282&gt;'Simulateur Amortissement'!B7*12,"",'Simulateur Amortissement'!B12)</f>
        <v/>
      </c>
      <c r="C282" s="18">
        <f>G281*'Simulateur Amortissement'!B6/12</f>
        <v/>
      </c>
      <c r="D282" s="18">
        <f>IF(B282="","",B282-C282)</f>
        <v/>
      </c>
      <c r="E282" s="18">
        <f>IF(A282&gt;'Simulateur Amortissement'!B7*12,"",'Simulateur Amortissement'!B13)</f>
        <v/>
      </c>
      <c r="F282" s="18">
        <f>IF(B282="","",B282+E282)</f>
        <v/>
      </c>
      <c r="G282" s="18">
        <f>G281-D282</f>
        <v/>
      </c>
    </row>
    <row r="283">
      <c r="A283" s="19" t="n">
        <v>280</v>
      </c>
      <c r="B283" s="20">
        <f>IF(A283&gt;'Simulateur Amortissement'!B7*12,"",'Simulateur Amortissement'!B12)</f>
        <v/>
      </c>
      <c r="C283" s="20">
        <f>G282*'Simulateur Amortissement'!B6/12</f>
        <v/>
      </c>
      <c r="D283" s="20">
        <f>IF(B283="","",B283-C283)</f>
        <v/>
      </c>
      <c r="E283" s="20">
        <f>IF(A283&gt;'Simulateur Amortissement'!B7*12,"",'Simulateur Amortissement'!B13)</f>
        <v/>
      </c>
      <c r="F283" s="20">
        <f>IF(B283="","",B283+E283)</f>
        <v/>
      </c>
      <c r="G283" s="20">
        <f>G282-D283</f>
        <v/>
      </c>
    </row>
    <row r="284">
      <c r="A284" s="17" t="n">
        <v>281</v>
      </c>
      <c r="B284" s="18">
        <f>IF(A284&gt;'Simulateur Amortissement'!B7*12,"",'Simulateur Amortissement'!B12)</f>
        <v/>
      </c>
      <c r="C284" s="18">
        <f>G283*'Simulateur Amortissement'!B6/12</f>
        <v/>
      </c>
      <c r="D284" s="18">
        <f>IF(B284="","",B284-C284)</f>
        <v/>
      </c>
      <c r="E284" s="18">
        <f>IF(A284&gt;'Simulateur Amortissement'!B7*12,"",'Simulateur Amortissement'!B13)</f>
        <v/>
      </c>
      <c r="F284" s="18">
        <f>IF(B284="","",B284+E284)</f>
        <v/>
      </c>
      <c r="G284" s="18">
        <f>G283-D284</f>
        <v/>
      </c>
    </row>
    <row r="285">
      <c r="A285" s="19" t="n">
        <v>282</v>
      </c>
      <c r="B285" s="20">
        <f>IF(A285&gt;'Simulateur Amortissement'!B7*12,"",'Simulateur Amortissement'!B12)</f>
        <v/>
      </c>
      <c r="C285" s="20">
        <f>G284*'Simulateur Amortissement'!B6/12</f>
        <v/>
      </c>
      <c r="D285" s="20">
        <f>IF(B285="","",B285-C285)</f>
        <v/>
      </c>
      <c r="E285" s="20">
        <f>IF(A285&gt;'Simulateur Amortissement'!B7*12,"",'Simulateur Amortissement'!B13)</f>
        <v/>
      </c>
      <c r="F285" s="20">
        <f>IF(B285="","",B285+E285)</f>
        <v/>
      </c>
      <c r="G285" s="20">
        <f>G284-D285</f>
        <v/>
      </c>
    </row>
    <row r="286">
      <c r="A286" s="17" t="n">
        <v>283</v>
      </c>
      <c r="B286" s="18">
        <f>IF(A286&gt;'Simulateur Amortissement'!B7*12,"",'Simulateur Amortissement'!B12)</f>
        <v/>
      </c>
      <c r="C286" s="18">
        <f>G285*'Simulateur Amortissement'!B6/12</f>
        <v/>
      </c>
      <c r="D286" s="18">
        <f>IF(B286="","",B286-C286)</f>
        <v/>
      </c>
      <c r="E286" s="18">
        <f>IF(A286&gt;'Simulateur Amortissement'!B7*12,"",'Simulateur Amortissement'!B13)</f>
        <v/>
      </c>
      <c r="F286" s="18">
        <f>IF(B286="","",B286+E286)</f>
        <v/>
      </c>
      <c r="G286" s="18">
        <f>G285-D286</f>
        <v/>
      </c>
    </row>
    <row r="287">
      <c r="A287" s="19" t="n">
        <v>284</v>
      </c>
      <c r="B287" s="20">
        <f>IF(A287&gt;'Simulateur Amortissement'!B7*12,"",'Simulateur Amortissement'!B12)</f>
        <v/>
      </c>
      <c r="C287" s="20">
        <f>G286*'Simulateur Amortissement'!B6/12</f>
        <v/>
      </c>
      <c r="D287" s="20">
        <f>IF(B287="","",B287-C287)</f>
        <v/>
      </c>
      <c r="E287" s="20">
        <f>IF(A287&gt;'Simulateur Amortissement'!B7*12,"",'Simulateur Amortissement'!B13)</f>
        <v/>
      </c>
      <c r="F287" s="20">
        <f>IF(B287="","",B287+E287)</f>
        <v/>
      </c>
      <c r="G287" s="20">
        <f>G286-D287</f>
        <v/>
      </c>
    </row>
    <row r="288">
      <c r="A288" s="17" t="n">
        <v>285</v>
      </c>
      <c r="B288" s="18">
        <f>IF(A288&gt;'Simulateur Amortissement'!B7*12,"",'Simulateur Amortissement'!B12)</f>
        <v/>
      </c>
      <c r="C288" s="18">
        <f>G287*'Simulateur Amortissement'!B6/12</f>
        <v/>
      </c>
      <c r="D288" s="18">
        <f>IF(B288="","",B288-C288)</f>
        <v/>
      </c>
      <c r="E288" s="18">
        <f>IF(A288&gt;'Simulateur Amortissement'!B7*12,"",'Simulateur Amortissement'!B13)</f>
        <v/>
      </c>
      <c r="F288" s="18">
        <f>IF(B288="","",B288+E288)</f>
        <v/>
      </c>
      <c r="G288" s="18">
        <f>G287-D288</f>
        <v/>
      </c>
    </row>
    <row r="289">
      <c r="A289" s="19" t="n">
        <v>286</v>
      </c>
      <c r="B289" s="20">
        <f>IF(A289&gt;'Simulateur Amortissement'!B7*12,"",'Simulateur Amortissement'!B12)</f>
        <v/>
      </c>
      <c r="C289" s="20">
        <f>G288*'Simulateur Amortissement'!B6/12</f>
        <v/>
      </c>
      <c r="D289" s="20">
        <f>IF(B289="","",B289-C289)</f>
        <v/>
      </c>
      <c r="E289" s="20">
        <f>IF(A289&gt;'Simulateur Amortissement'!B7*12,"",'Simulateur Amortissement'!B13)</f>
        <v/>
      </c>
      <c r="F289" s="20">
        <f>IF(B289="","",B289+E289)</f>
        <v/>
      </c>
      <c r="G289" s="20">
        <f>G288-D289</f>
        <v/>
      </c>
    </row>
    <row r="290">
      <c r="A290" s="17" t="n">
        <v>287</v>
      </c>
      <c r="B290" s="18">
        <f>IF(A290&gt;'Simulateur Amortissement'!B7*12,"",'Simulateur Amortissement'!B12)</f>
        <v/>
      </c>
      <c r="C290" s="18">
        <f>G289*'Simulateur Amortissement'!B6/12</f>
        <v/>
      </c>
      <c r="D290" s="18">
        <f>IF(B290="","",B290-C290)</f>
        <v/>
      </c>
      <c r="E290" s="18">
        <f>IF(A290&gt;'Simulateur Amortissement'!B7*12,"",'Simulateur Amortissement'!B13)</f>
        <v/>
      </c>
      <c r="F290" s="18">
        <f>IF(B290="","",B290+E290)</f>
        <v/>
      </c>
      <c r="G290" s="18">
        <f>G289-D290</f>
        <v/>
      </c>
    </row>
    <row r="291">
      <c r="A291" s="19" t="n">
        <v>288</v>
      </c>
      <c r="B291" s="20">
        <f>IF(A291&gt;'Simulateur Amortissement'!B7*12,"",'Simulateur Amortissement'!B12)</f>
        <v/>
      </c>
      <c r="C291" s="20">
        <f>G290*'Simulateur Amortissement'!B6/12</f>
        <v/>
      </c>
      <c r="D291" s="20">
        <f>IF(B291="","",B291-C291)</f>
        <v/>
      </c>
      <c r="E291" s="20">
        <f>IF(A291&gt;'Simulateur Amortissement'!B7*12,"",'Simulateur Amortissement'!B13)</f>
        <v/>
      </c>
      <c r="F291" s="20">
        <f>IF(B291="","",B291+E291)</f>
        <v/>
      </c>
      <c r="G291" s="20">
        <f>G290-D291</f>
        <v/>
      </c>
    </row>
    <row r="292">
      <c r="A292" s="17" t="n">
        <v>289</v>
      </c>
      <c r="B292" s="18">
        <f>IF(A292&gt;'Simulateur Amortissement'!B7*12,"",'Simulateur Amortissement'!B12)</f>
        <v/>
      </c>
      <c r="C292" s="18">
        <f>G291*'Simulateur Amortissement'!B6/12</f>
        <v/>
      </c>
      <c r="D292" s="18">
        <f>IF(B292="","",B292-C292)</f>
        <v/>
      </c>
      <c r="E292" s="18">
        <f>IF(A292&gt;'Simulateur Amortissement'!B7*12,"",'Simulateur Amortissement'!B13)</f>
        <v/>
      </c>
      <c r="F292" s="18">
        <f>IF(B292="","",B292+E292)</f>
        <v/>
      </c>
      <c r="G292" s="18">
        <f>G291-D292</f>
        <v/>
      </c>
    </row>
    <row r="293">
      <c r="A293" s="19" t="n">
        <v>290</v>
      </c>
      <c r="B293" s="20">
        <f>IF(A293&gt;'Simulateur Amortissement'!B7*12,"",'Simulateur Amortissement'!B12)</f>
        <v/>
      </c>
      <c r="C293" s="20">
        <f>G292*'Simulateur Amortissement'!B6/12</f>
        <v/>
      </c>
      <c r="D293" s="20">
        <f>IF(B293="","",B293-C293)</f>
        <v/>
      </c>
      <c r="E293" s="20">
        <f>IF(A293&gt;'Simulateur Amortissement'!B7*12,"",'Simulateur Amortissement'!B13)</f>
        <v/>
      </c>
      <c r="F293" s="20">
        <f>IF(B293="","",B293+E293)</f>
        <v/>
      </c>
      <c r="G293" s="20">
        <f>G292-D293</f>
        <v/>
      </c>
    </row>
    <row r="294">
      <c r="A294" s="17" t="n">
        <v>291</v>
      </c>
      <c r="B294" s="18">
        <f>IF(A294&gt;'Simulateur Amortissement'!B7*12,"",'Simulateur Amortissement'!B12)</f>
        <v/>
      </c>
      <c r="C294" s="18">
        <f>G293*'Simulateur Amortissement'!B6/12</f>
        <v/>
      </c>
      <c r="D294" s="18">
        <f>IF(B294="","",B294-C294)</f>
        <v/>
      </c>
      <c r="E294" s="18">
        <f>IF(A294&gt;'Simulateur Amortissement'!B7*12,"",'Simulateur Amortissement'!B13)</f>
        <v/>
      </c>
      <c r="F294" s="18">
        <f>IF(B294="","",B294+E294)</f>
        <v/>
      </c>
      <c r="G294" s="18">
        <f>G293-D294</f>
        <v/>
      </c>
    </row>
    <row r="295">
      <c r="A295" s="19" t="n">
        <v>292</v>
      </c>
      <c r="B295" s="20">
        <f>IF(A295&gt;'Simulateur Amortissement'!B7*12,"",'Simulateur Amortissement'!B12)</f>
        <v/>
      </c>
      <c r="C295" s="20">
        <f>G294*'Simulateur Amortissement'!B6/12</f>
        <v/>
      </c>
      <c r="D295" s="20">
        <f>IF(B295="","",B295-C295)</f>
        <v/>
      </c>
      <c r="E295" s="20">
        <f>IF(A295&gt;'Simulateur Amortissement'!B7*12,"",'Simulateur Amortissement'!B13)</f>
        <v/>
      </c>
      <c r="F295" s="20">
        <f>IF(B295="","",B295+E295)</f>
        <v/>
      </c>
      <c r="G295" s="20">
        <f>G294-D295</f>
        <v/>
      </c>
    </row>
    <row r="296">
      <c r="A296" s="17" t="n">
        <v>293</v>
      </c>
      <c r="B296" s="18">
        <f>IF(A296&gt;'Simulateur Amortissement'!B7*12,"",'Simulateur Amortissement'!B12)</f>
        <v/>
      </c>
      <c r="C296" s="18">
        <f>G295*'Simulateur Amortissement'!B6/12</f>
        <v/>
      </c>
      <c r="D296" s="18">
        <f>IF(B296="","",B296-C296)</f>
        <v/>
      </c>
      <c r="E296" s="18">
        <f>IF(A296&gt;'Simulateur Amortissement'!B7*12,"",'Simulateur Amortissement'!B13)</f>
        <v/>
      </c>
      <c r="F296" s="18">
        <f>IF(B296="","",B296+E296)</f>
        <v/>
      </c>
      <c r="G296" s="18">
        <f>G295-D296</f>
        <v/>
      </c>
    </row>
    <row r="297">
      <c r="A297" s="19" t="n">
        <v>294</v>
      </c>
      <c r="B297" s="20">
        <f>IF(A297&gt;'Simulateur Amortissement'!B7*12,"",'Simulateur Amortissement'!B12)</f>
        <v/>
      </c>
      <c r="C297" s="20">
        <f>G296*'Simulateur Amortissement'!B6/12</f>
        <v/>
      </c>
      <c r="D297" s="20">
        <f>IF(B297="","",B297-C297)</f>
        <v/>
      </c>
      <c r="E297" s="20">
        <f>IF(A297&gt;'Simulateur Amortissement'!B7*12,"",'Simulateur Amortissement'!B13)</f>
        <v/>
      </c>
      <c r="F297" s="20">
        <f>IF(B297="","",B297+E297)</f>
        <v/>
      </c>
      <c r="G297" s="20">
        <f>G296-D297</f>
        <v/>
      </c>
    </row>
    <row r="298">
      <c r="A298" s="17" t="n">
        <v>295</v>
      </c>
      <c r="B298" s="18">
        <f>IF(A298&gt;'Simulateur Amortissement'!B7*12,"",'Simulateur Amortissement'!B12)</f>
        <v/>
      </c>
      <c r="C298" s="18">
        <f>G297*'Simulateur Amortissement'!B6/12</f>
        <v/>
      </c>
      <c r="D298" s="18">
        <f>IF(B298="","",B298-C298)</f>
        <v/>
      </c>
      <c r="E298" s="18">
        <f>IF(A298&gt;'Simulateur Amortissement'!B7*12,"",'Simulateur Amortissement'!B13)</f>
        <v/>
      </c>
      <c r="F298" s="18">
        <f>IF(B298="","",B298+E298)</f>
        <v/>
      </c>
      <c r="G298" s="18">
        <f>G297-D298</f>
        <v/>
      </c>
    </row>
    <row r="299">
      <c r="A299" s="19" t="n">
        <v>296</v>
      </c>
      <c r="B299" s="20">
        <f>IF(A299&gt;'Simulateur Amortissement'!B7*12,"",'Simulateur Amortissement'!B12)</f>
        <v/>
      </c>
      <c r="C299" s="20">
        <f>G298*'Simulateur Amortissement'!B6/12</f>
        <v/>
      </c>
      <c r="D299" s="20">
        <f>IF(B299="","",B299-C299)</f>
        <v/>
      </c>
      <c r="E299" s="20">
        <f>IF(A299&gt;'Simulateur Amortissement'!B7*12,"",'Simulateur Amortissement'!B13)</f>
        <v/>
      </c>
      <c r="F299" s="20">
        <f>IF(B299="","",B299+E299)</f>
        <v/>
      </c>
      <c r="G299" s="20">
        <f>G298-D299</f>
        <v/>
      </c>
    </row>
    <row r="300">
      <c r="A300" s="17" t="n">
        <v>297</v>
      </c>
      <c r="B300" s="18">
        <f>IF(A300&gt;'Simulateur Amortissement'!B7*12,"",'Simulateur Amortissement'!B12)</f>
        <v/>
      </c>
      <c r="C300" s="18">
        <f>G299*'Simulateur Amortissement'!B6/12</f>
        <v/>
      </c>
      <c r="D300" s="18">
        <f>IF(B300="","",B300-C300)</f>
        <v/>
      </c>
      <c r="E300" s="18">
        <f>IF(A300&gt;'Simulateur Amortissement'!B7*12,"",'Simulateur Amortissement'!B13)</f>
        <v/>
      </c>
      <c r="F300" s="18">
        <f>IF(B300="","",B300+E300)</f>
        <v/>
      </c>
      <c r="G300" s="18">
        <f>G299-D300</f>
        <v/>
      </c>
    </row>
    <row r="301">
      <c r="A301" s="19" t="n">
        <v>298</v>
      </c>
      <c r="B301" s="20">
        <f>IF(A301&gt;'Simulateur Amortissement'!B7*12,"",'Simulateur Amortissement'!B12)</f>
        <v/>
      </c>
      <c r="C301" s="20">
        <f>G300*'Simulateur Amortissement'!B6/12</f>
        <v/>
      </c>
      <c r="D301" s="20">
        <f>IF(B301="","",B301-C301)</f>
        <v/>
      </c>
      <c r="E301" s="20">
        <f>IF(A301&gt;'Simulateur Amortissement'!B7*12,"",'Simulateur Amortissement'!B13)</f>
        <v/>
      </c>
      <c r="F301" s="20">
        <f>IF(B301="","",B301+E301)</f>
        <v/>
      </c>
      <c r="G301" s="20">
        <f>G300-D301</f>
        <v/>
      </c>
    </row>
    <row r="302">
      <c r="A302" s="17" t="n">
        <v>299</v>
      </c>
      <c r="B302" s="18">
        <f>IF(A302&gt;'Simulateur Amortissement'!B7*12,"",'Simulateur Amortissement'!B12)</f>
        <v/>
      </c>
      <c r="C302" s="18">
        <f>G301*'Simulateur Amortissement'!B6/12</f>
        <v/>
      </c>
      <c r="D302" s="18">
        <f>IF(B302="","",B302-C302)</f>
        <v/>
      </c>
      <c r="E302" s="18">
        <f>IF(A302&gt;'Simulateur Amortissement'!B7*12,"",'Simulateur Amortissement'!B13)</f>
        <v/>
      </c>
      <c r="F302" s="18">
        <f>IF(B302="","",B302+E302)</f>
        <v/>
      </c>
      <c r="G302" s="18">
        <f>G301-D302</f>
        <v/>
      </c>
    </row>
    <row r="303">
      <c r="A303" s="19" t="n">
        <v>300</v>
      </c>
      <c r="B303" s="20">
        <f>IF(A303&gt;'Simulateur Amortissement'!B7*12,"",'Simulateur Amortissement'!B12)</f>
        <v/>
      </c>
      <c r="C303" s="20">
        <f>G302*'Simulateur Amortissement'!B6/12</f>
        <v/>
      </c>
      <c r="D303" s="20">
        <f>IF(B303="","",B303-C303)</f>
        <v/>
      </c>
      <c r="E303" s="20">
        <f>IF(A303&gt;'Simulateur Amortissement'!B7*12,"",'Simulateur Amortissement'!B13)</f>
        <v/>
      </c>
      <c r="F303" s="20">
        <f>IF(B303="","",B303+E303)</f>
        <v/>
      </c>
      <c r="G303" s="20">
        <f>G302-D303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5" t="inlineStr">
        <is>
          <t>COMPARATEUR DE DURÉES DE CRÉDIT</t>
        </is>
      </c>
    </row>
    <row r="3">
      <c r="A3" s="21" t="inlineStr"/>
      <c r="B3" s="16" t="inlineStr">
        <is>
          <t>10 ans</t>
        </is>
      </c>
      <c r="C3" s="16" t="inlineStr">
        <is>
          <t>15 ans</t>
        </is>
      </c>
      <c r="D3" s="16" t="inlineStr">
        <is>
          <t>20 ans</t>
        </is>
      </c>
      <c r="E3" s="16" t="inlineStr">
        <is>
          <t>25 ans</t>
        </is>
      </c>
    </row>
    <row r="4" ht="28" customHeight="1">
      <c r="A4" s="5" t="inlineStr">
        <is>
          <t>Nombre de mensualités</t>
        </is>
      </c>
      <c r="B4" s="22">
        <f>10*12</f>
        <v/>
      </c>
      <c r="C4" s="22">
        <f>15*12</f>
        <v/>
      </c>
      <c r="D4" s="22">
        <f>20*12</f>
        <v/>
      </c>
      <c r="E4" s="22">
        <f>25*12</f>
        <v/>
      </c>
    </row>
    <row r="5" ht="28" customHeight="1">
      <c r="A5" s="5" t="inlineStr">
        <is>
          <t>Mensualité (hors assurance)</t>
        </is>
      </c>
      <c r="B5" s="23">
        <f>-PMT('Simulateur Amortissement'!B6/12,10*12,'Simulateur Amortissement'!B5)</f>
        <v/>
      </c>
      <c r="C5" s="23">
        <f>-PMT('Simulateur Amortissement'!B6/12,15*12,'Simulateur Amortissement'!B5)</f>
        <v/>
      </c>
      <c r="D5" s="23">
        <f>-PMT('Simulateur Amortissement'!B6/12,20*12,'Simulateur Amortissement'!B5)</f>
        <v/>
      </c>
      <c r="E5" s="23">
        <f>-PMT('Simulateur Amortissement'!B6/12,25*12,'Simulateur Amortissement'!B5)</f>
        <v/>
      </c>
    </row>
    <row r="6" ht="28" customHeight="1">
      <c r="A6" s="5" t="inlineStr">
        <is>
          <t>Mensualité assurance</t>
        </is>
      </c>
      <c r="B6" s="22">
        <f>'Simulateur Amortissement'!B13</f>
        <v/>
      </c>
      <c r="C6" s="22">
        <f>'Simulateur Amortissement'!B13</f>
        <v/>
      </c>
      <c r="D6" s="22">
        <f>'Simulateur Amortissement'!B13</f>
        <v/>
      </c>
      <c r="E6" s="22">
        <f>'Simulateur Amortissement'!B13</f>
        <v/>
      </c>
    </row>
    <row r="7" ht="28" customHeight="1">
      <c r="A7" s="5" t="inlineStr">
        <is>
          <t>Mensualité totale</t>
        </is>
      </c>
      <c r="B7" s="9">
        <f>B5+B6</f>
        <v/>
      </c>
      <c r="C7" s="9">
        <f>C5+C6</f>
        <v/>
      </c>
      <c r="D7" s="9">
        <f>D5+D6</f>
        <v/>
      </c>
      <c r="E7" s="9">
        <f>E5+E6</f>
        <v/>
      </c>
    </row>
    <row r="8" ht="28" customHeight="1">
      <c r="A8" s="5" t="inlineStr">
        <is>
          <t>Total intérêts</t>
        </is>
      </c>
      <c r="B8" s="23">
        <f>-PMT('Simulateur Amortissement'!B6/12,10*12,'Simulateur Amortissement'!B5)*10*12-'Simulateur Amortissement'!B5</f>
        <v/>
      </c>
      <c r="C8" s="23">
        <f>-PMT('Simulateur Amortissement'!B6/12,15*12,'Simulateur Amortissement'!B5)*15*12-'Simulateur Amortissement'!B5</f>
        <v/>
      </c>
      <c r="D8" s="23">
        <f>-PMT('Simulateur Amortissement'!B6/12,20*12,'Simulateur Amortissement'!B5)*20*12-'Simulateur Amortissement'!B5</f>
        <v/>
      </c>
      <c r="E8" s="23">
        <f>-PMT('Simulateur Amortissement'!B6/12,25*12,'Simulateur Amortissement'!B5)*25*12-'Simulateur Amortissement'!B5</f>
        <v/>
      </c>
    </row>
    <row r="9" ht="28" customHeight="1">
      <c r="A9" s="5" t="inlineStr">
        <is>
          <t>Total assurance</t>
        </is>
      </c>
      <c r="B9" s="24">
        <f>'Simulateur Amortissement'!B13*10*12</f>
        <v/>
      </c>
      <c r="C9" s="24">
        <f>'Simulateur Amortissement'!B13*15*12</f>
        <v/>
      </c>
      <c r="D9" s="24">
        <f>'Simulateur Amortissement'!B13*20*12</f>
        <v/>
      </c>
      <c r="E9" s="24">
        <f>'Simulateur Amortissement'!B13*25*12</f>
        <v/>
      </c>
    </row>
    <row r="10" ht="28" customHeight="1">
      <c r="A10" s="5" t="inlineStr">
        <is>
          <t>Coût total du crédit</t>
        </is>
      </c>
      <c r="B10" s="25">
        <f>B8+B9</f>
        <v/>
      </c>
      <c r="C10" s="25">
        <f>C8+C9</f>
        <v/>
      </c>
      <c r="D10" s="25">
        <f>D8+D9</f>
        <v/>
      </c>
      <c r="E10" s="25">
        <f>E8+E9</f>
        <v/>
      </c>
    </row>
    <row r="12">
      <c r="A12" s="26" t="inlineStr">
        <is>
          <t>💡 ANALYSE :</t>
        </is>
      </c>
    </row>
    <row r="13" ht="60" customHeight="1">
      <c r="A13" s="27" t="inlineStr">
        <is>
          <t>Plus la durée est longue, plus la mensualité est basse (meilleur cashflow) mais plus le coût total est élevé. L'investisseur immobilier privilégie souvent 20-25 ans pour maximiser le cashflow et utiliser l'effet de levier. L'argent économisé sur les mensualités peut être réinvesti dans un nouveau bien.</t>
        </is>
      </c>
    </row>
  </sheetData>
  <mergeCells count="2">
    <mergeCell ref="A1:F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2026-04-11T16:07:29Z</dcterms:created>
  <dcterms:modified xmlns:dcterms="http://purl.org/dc/terms/" xmlns:xsi="http://www.w3.org/2001/XMLSchema-instance" xsi:type="dcterms:W3CDTF">2026-04-11T16:07:29Z</dcterms:modified>
</cp:coreProperties>
</file>