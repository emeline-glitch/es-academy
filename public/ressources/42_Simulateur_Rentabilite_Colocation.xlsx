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ur Co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+#,##0 €;-#,##0 €"/>
    <numFmt numFmtId="166" formatCode="+0.00%"/>
  </numFmts>
  <fonts count="10">
    <font>
      <name val="Calibri"/>
      <family val="2"/>
      <color theme="1"/>
      <sz val="11"/>
      <scheme val="minor"/>
    </font>
    <font>
      <name val="Arial"/>
      <b val="1"/>
      <color rgb="002C6E55"/>
      <sz val="14"/>
    </font>
    <font>
      <name val="Arial"/>
      <i val="1"/>
      <color rgb="00888888"/>
      <sz val="9"/>
    </font>
    <font>
      <name val="Arial"/>
      <b val="1"/>
      <color rgb="002C6E55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C0000"/>
      <sz val="11"/>
    </font>
    <font>
      <name val="Arial"/>
      <b val="1"/>
      <color rgb="00CC0000"/>
    </font>
    <font>
      <name val="Arial"/>
      <b val="1"/>
      <color rgb="002C6E55"/>
      <sz val="12"/>
    </font>
  </fonts>
  <fills count="7">
    <fill>
      <patternFill/>
    </fill>
    <fill>
      <patternFill patternType="gray125"/>
    </fill>
    <fill>
      <patternFill patternType="solid">
        <fgColor rgb="00E8F0E0"/>
      </patternFill>
    </fill>
    <fill>
      <patternFill patternType="solid">
        <fgColor rgb="00FFF8E1"/>
      </patternFill>
    </fill>
    <fill>
      <patternFill patternType="solid">
        <fgColor rgb="002C6E55"/>
      </patternFill>
    </fill>
    <fill>
      <patternFill patternType="solid">
        <fgColor rgb="00D4EDDA"/>
      </patternFill>
    </fill>
    <fill>
      <patternFill patternType="solid">
        <fgColor rgb="00FDDE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4" fontId="8" fillId="6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164" fontId="1" fillId="5" borderId="1" applyAlignment="1" pivotButton="0" quotePrefix="0" xfId="0">
      <alignment horizontal="center" vertical="center"/>
    </xf>
    <xf numFmtId="165" fontId="1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2" customWidth="1" min="3" max="3"/>
    <col width="22" customWidth="1" min="4" max="4"/>
    <col width="18" customWidth="1" min="5" max="5"/>
  </cols>
  <sheetData>
    <row r="1" ht="40" customHeight="1">
      <c r="A1" s="1" t="inlineStr">
        <is>
          <t>SIMULATEUR RENTABILITÉ COLOCATION VS LOCATION CLASSIQUE</t>
        </is>
      </c>
    </row>
    <row r="2">
      <c r="A2" s="2" t="inlineStr">
        <is>
          <t>La méthode Emeline SIRON — Comparez la rentabilité d'un même bien en colocation vs location classique</t>
        </is>
      </c>
    </row>
    <row r="4">
      <c r="A4" s="3" t="inlineStr">
        <is>
          <t>PARAMÈTRES DU BIEN</t>
        </is>
      </c>
      <c r="B4" s="4" t="n"/>
      <c r="C4" s="4" t="n"/>
      <c r="D4" s="4" t="n"/>
      <c r="E4" s="4" t="n"/>
    </row>
    <row r="5">
      <c r="A5" s="5" t="inlineStr">
        <is>
          <t>Type de bien</t>
        </is>
      </c>
      <c r="B5" s="6" t="inlineStr">
        <is>
          <t>T4 / 80m²</t>
        </is>
      </c>
    </row>
    <row r="6">
      <c r="A6" s="5" t="inlineStr">
        <is>
          <t>Prix d'achat (FAI)</t>
        </is>
      </c>
      <c r="B6" s="7" t="n">
        <v>200000</v>
      </c>
    </row>
    <row r="7">
      <c r="A7" s="5" t="inlineStr">
        <is>
          <t>Frais de notaire</t>
        </is>
      </c>
      <c r="B7" s="7" t="n">
        <v>16000</v>
      </c>
    </row>
    <row r="8">
      <c r="A8" s="5" t="inlineStr">
        <is>
          <t>Budget travaux</t>
        </is>
      </c>
      <c r="B8" s="7" t="n">
        <v>15000</v>
      </c>
    </row>
    <row r="9">
      <c r="A9" s="5" t="inlineStr">
        <is>
          <t>Budget meubles (coloc)</t>
        </is>
      </c>
      <c r="B9" s="7" t="n">
        <v>8000</v>
      </c>
    </row>
    <row r="10">
      <c r="A10" s="5" t="inlineStr">
        <is>
          <t>Nombre de chambres</t>
        </is>
      </c>
      <c r="B10" s="6" t="n">
        <v>4</v>
      </c>
    </row>
    <row r="12" ht="50" customHeight="1">
      <c r="A12" s="8" t="inlineStr"/>
      <c r="B12" s="8" t="inlineStr"/>
      <c r="C12" s="8" t="inlineStr">
        <is>
          <t>LOCATION
CLASSIQUE
(T4 entier)</t>
        </is>
      </c>
      <c r="D12" s="8" t="inlineStr">
        <is>
          <t>COLOCATION
MEUBLÉE
(par chambre)</t>
        </is>
      </c>
      <c r="E12" s="8" t="inlineStr">
        <is>
          <t>ÉCART</t>
        </is>
      </c>
    </row>
    <row r="13">
      <c r="A13" s="9" t="inlineStr">
        <is>
          <t>REVENUS</t>
        </is>
      </c>
      <c r="B13" s="9" t="inlineStr"/>
      <c r="C13" s="9" t="inlineStr"/>
      <c r="D13" s="9" t="inlineStr"/>
      <c r="E13" s="9" t="inlineStr"/>
    </row>
    <row r="14">
      <c r="A14" s="5" t="inlineStr">
        <is>
          <t>Loyer mensuel unitaire</t>
        </is>
      </c>
      <c r="B14" s="5" t="inlineStr"/>
      <c r="C14" s="7" t="n">
        <v>850</v>
      </c>
      <c r="D14" s="7" t="n">
        <v>400</v>
      </c>
    </row>
    <row r="15">
      <c r="A15" s="5" t="inlineStr">
        <is>
          <t>Loyer mensuel total</t>
        </is>
      </c>
      <c r="B15" s="5" t="inlineStr"/>
      <c r="C15" s="10">
        <f>C14</f>
        <v/>
      </c>
      <c r="D15" s="10">
        <f>D14*B10</f>
        <v/>
      </c>
      <c r="E15" s="11">
        <f>D15-C15</f>
        <v/>
      </c>
    </row>
    <row r="16">
      <c r="A16" s="5" t="inlineStr">
        <is>
          <t>Taux de vacance</t>
        </is>
      </c>
      <c r="B16" s="5" t="inlineStr"/>
      <c r="C16" s="12" t="n">
        <v>0.05</v>
      </c>
      <c r="D16" s="12" t="n">
        <v>0.1</v>
      </c>
    </row>
    <row r="17">
      <c r="A17" s="5" t="inlineStr">
        <is>
          <t>Loyer annuel effectif</t>
        </is>
      </c>
      <c r="B17" s="5" t="inlineStr"/>
      <c r="C17" s="10">
        <f>C15*12*(1-C16)</f>
        <v/>
      </c>
      <c r="D17" s="10">
        <f>D15*12*(1-D16)</f>
        <v/>
      </c>
      <c r="E17" s="11">
        <f>D17-C17</f>
        <v/>
      </c>
    </row>
    <row r="18">
      <c r="A18" s="9" t="inlineStr">
        <is>
          <t>CHARGES ANNUELLES</t>
        </is>
      </c>
      <c r="B18" s="4" t="n"/>
      <c r="C18" s="4" t="n"/>
      <c r="D18" s="4" t="n"/>
      <c r="E18" s="4" t="n"/>
    </row>
    <row r="19">
      <c r="A19" s="5" t="inlineStr">
        <is>
          <t>Taxe foncière</t>
        </is>
      </c>
      <c r="B19" s="5" t="inlineStr"/>
      <c r="C19" s="7" t="n">
        <v>1200</v>
      </c>
      <c r="D19" s="7" t="n">
        <v>1200</v>
      </c>
    </row>
    <row r="20">
      <c r="A20" s="5" t="inlineStr">
        <is>
          <t>Charges copropriété</t>
        </is>
      </c>
      <c r="B20" s="5" t="inlineStr"/>
      <c r="C20" s="7" t="n">
        <v>1200</v>
      </c>
      <c r="D20" s="7" t="n">
        <v>1200</v>
      </c>
    </row>
    <row r="21">
      <c r="A21" s="5" t="inlineStr">
        <is>
          <t>Assurance PNO</t>
        </is>
      </c>
      <c r="B21" s="5" t="inlineStr"/>
      <c r="C21" s="7" t="n">
        <v>200</v>
      </c>
      <c r="D21" s="7" t="n">
        <v>250</v>
      </c>
    </row>
    <row r="22">
      <c r="A22" s="5" t="inlineStr">
        <is>
          <t>Assurance GLI</t>
        </is>
      </c>
      <c r="B22" s="5" t="inlineStr"/>
      <c r="C22" s="7">
        <f>C17*0.035</f>
        <v/>
      </c>
      <c r="D22" s="7">
        <f>D17*0.035</f>
        <v/>
      </c>
    </row>
    <row r="23">
      <c r="A23" s="5" t="inlineStr">
        <is>
          <t>Entretien / réparations</t>
        </is>
      </c>
      <c r="B23" s="5" t="inlineStr"/>
      <c r="C23" s="7" t="n">
        <v>500</v>
      </c>
      <c r="D23" s="7" t="n">
        <v>1200</v>
      </c>
    </row>
    <row r="24">
      <c r="A24" s="5" t="inlineStr">
        <is>
          <t>Wifi / abonnements (coloc)</t>
        </is>
      </c>
      <c r="B24" s="5" t="inlineStr"/>
      <c r="C24" s="7" t="n">
        <v>0</v>
      </c>
      <c r="D24" s="7" t="n">
        <v>360</v>
      </c>
    </row>
    <row r="25">
      <c r="A25" s="5" t="inlineStr">
        <is>
          <t>Remplacement meubles</t>
        </is>
      </c>
      <c r="B25" s="5" t="inlineStr"/>
      <c r="C25" s="7" t="n">
        <v>0</v>
      </c>
      <c r="D25" s="7" t="n">
        <v>800</v>
      </c>
    </row>
    <row r="26">
      <c r="A26" s="5" t="inlineStr">
        <is>
          <t>Comptable (si LMNP)</t>
        </is>
      </c>
      <c r="B26" s="5" t="inlineStr"/>
      <c r="C26" s="7" t="n">
        <v>0</v>
      </c>
      <c r="D26" s="7" t="n">
        <v>800</v>
      </c>
    </row>
    <row r="27">
      <c r="A27" s="5" t="inlineStr">
        <is>
          <t>Gestion locative</t>
        </is>
      </c>
      <c r="B27" s="5" t="inlineStr"/>
      <c r="C27" s="7" t="n">
        <v>0</v>
      </c>
      <c r="D27" s="7" t="n">
        <v>0</v>
      </c>
    </row>
    <row r="28">
      <c r="A28" s="13" t="inlineStr">
        <is>
          <t>TOTAL CHARGES</t>
        </is>
      </c>
      <c r="B28" s="5" t="inlineStr"/>
      <c r="C28" s="14">
        <f>SUM(C19:C27)</f>
        <v/>
      </c>
      <c r="D28" s="14">
        <f>SUM(D19:D27)</f>
        <v/>
      </c>
    </row>
    <row r="29">
      <c r="A29" s="9" t="inlineStr">
        <is>
          <t>RÉSULTATS</t>
        </is>
      </c>
      <c r="B29" s="4" t="n"/>
      <c r="C29" s="4" t="n"/>
      <c r="D29" s="4" t="n"/>
      <c r="E29" s="4" t="n"/>
    </row>
    <row r="30">
      <c r="A30" s="5" t="inlineStr">
        <is>
          <t>Coût total du projet</t>
        </is>
      </c>
      <c r="B30" s="5" t="inlineStr"/>
      <c r="C30" s="10">
        <f>B6+B7+B8</f>
        <v/>
      </c>
      <c r="D30" s="10">
        <f>B6+B7+B8+B9</f>
        <v/>
      </c>
    </row>
    <row r="31">
      <c r="A31" s="5" t="inlineStr">
        <is>
          <t>Rentabilité brute</t>
        </is>
      </c>
      <c r="B31" s="5" t="inlineStr"/>
      <c r="C31" s="15">
        <f>C17/C30</f>
        <v/>
      </c>
      <c r="D31" s="15">
        <f>D17/D30</f>
        <v/>
      </c>
      <c r="E31" s="16">
        <f>D31-C31</f>
        <v/>
      </c>
    </row>
    <row r="32">
      <c r="A32" s="5" t="inlineStr">
        <is>
          <t>Rentabilité nette</t>
        </is>
      </c>
      <c r="B32" s="5" t="inlineStr"/>
      <c r="C32" s="15">
        <f>(C17-C28)/C30</f>
        <v/>
      </c>
      <c r="D32" s="15">
        <f>(D17-D28)/D30</f>
        <v/>
      </c>
      <c r="E32" s="16">
        <f>D32-C32</f>
        <v/>
      </c>
    </row>
    <row r="33" ht="35" customHeight="1">
      <c r="A33" s="17" t="inlineStr">
        <is>
          <t>REVENU NET ANNUEL</t>
        </is>
      </c>
      <c r="B33" s="5" t="inlineStr"/>
      <c r="C33" s="18">
        <f>C17-C28</f>
        <v/>
      </c>
      <c r="D33" s="18">
        <f>D17-D28</f>
        <v/>
      </c>
      <c r="E33" s="19">
        <f>D33-C33</f>
        <v/>
      </c>
    </row>
    <row r="34">
      <c r="A34" s="5" t="inlineStr">
        <is>
          <t>Revenu net mensuel</t>
        </is>
      </c>
      <c r="B34" s="5" t="inlineStr"/>
      <c r="C34" s="10">
        <f>C33/12</f>
        <v/>
      </c>
      <c r="D34" s="10">
        <f>D33/12</f>
        <v/>
      </c>
      <c r="E34" s="20">
        <f>D34-C34</f>
        <v/>
      </c>
    </row>
    <row r="35">
      <c r="A35" s="5" t="inlineStr">
        <is>
          <t>Temps de gestion estimé</t>
        </is>
      </c>
      <c r="B35" s="5" t="inlineStr"/>
      <c r="C35" s="21" t="inlineStr">
        <is>
          <t>⭐ Faible (2h/mois)</t>
        </is>
      </c>
      <c r="D35" s="21" t="inlineStr">
        <is>
          <t>⭐⭐⭐ Élevé (8h/mois)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2026-04-11T18:48:20Z</dcterms:created>
  <dcterms:modified xmlns:dcterms="http://purl.org/dc/terms/" xmlns:xsi="http://www.w3.org/2001/XMLSchema-instance" xsi:type="dcterms:W3CDTF">2026-04-11T18:48:20Z</dcterms:modified>
</cp:coreProperties>
</file>