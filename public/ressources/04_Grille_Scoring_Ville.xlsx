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Vill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D5016"/>
      <sz val="16"/>
    </font>
    <font>
      <name val="Arial"/>
      <i val="1"/>
      <color rgb="00888888"/>
      <sz val="9"/>
    </font>
    <font>
      <name val="Arial"/>
      <b val="1"/>
      <color rgb="00FFFFFF"/>
      <sz val="11"/>
    </font>
    <font>
      <name val="Arial"/>
      <b val="1"/>
      <sz val="10"/>
    </font>
    <font>
      <name val="Arial"/>
      <b val="1"/>
      <color rgb="002D5016"/>
      <sz val="11"/>
    </font>
    <font>
      <name val="Arial"/>
      <b val="1"/>
      <color rgb="002D5016"/>
      <sz val="12"/>
    </font>
    <font>
      <name val="Arial"/>
      <sz val="10"/>
    </font>
    <font>
      <name val="Arial"/>
      <b val="1"/>
      <color rgb="00FFFFFF"/>
      <sz val="12"/>
    </font>
    <font>
      <name val="Arial"/>
      <b val="1"/>
      <color rgb="002D5016"/>
      <sz val="14"/>
    </font>
  </fonts>
  <fills count="6">
    <fill>
      <patternFill/>
    </fill>
    <fill>
      <patternFill patternType="gray125"/>
    </fill>
    <fill>
      <patternFill patternType="solid">
        <fgColor rgb="00E8F0E0"/>
      </patternFill>
    </fill>
    <fill>
      <patternFill patternType="solid">
        <fgColor rgb="002D5016"/>
      </patternFill>
    </fill>
    <fill>
      <patternFill patternType="solid">
        <fgColor rgb="00FFF8E1"/>
      </patternFill>
    </fill>
    <fill>
      <patternFill patternType="solid">
        <fgColor rgb="00D4ED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0" xfId="0">
      <alignment horizontal="right" vertical="center"/>
    </xf>
    <xf numFmtId="0" fontId="4" fillId="4" borderId="1" applyAlignment="1" pivotButton="0" quotePrefix="0" xfId="0">
      <alignment horizontal="center" vertical="center"/>
    </xf>
    <xf numFmtId="0" fontId="5" fillId="2" borderId="1" applyAlignment="1" pivotButton="0" quotePrefix="0" xfId="0">
      <alignment horizontal="center" vertical="center" textRotation="90" wrapText="1"/>
    </xf>
    <xf numFmtId="0" fontId="6" fillId="0" borderId="1" applyAlignment="1" pivotButton="0" quotePrefix="0" xfId="0">
      <alignment horizontal="center" vertical="center"/>
    </xf>
    <xf numFmtId="0" fontId="7" fillId="4" borderId="1" applyAlignment="1" pivotButton="0" quotePrefix="0" xfId="0">
      <alignment horizontal="center" vertical="center"/>
    </xf>
    <xf numFmtId="0" fontId="0" fillId="2" borderId="1" pivotButton="0" quotePrefix="0" xfId="0"/>
    <xf numFmtId="0" fontId="8" fillId="3" borderId="1" applyAlignment="1" pivotButton="0" quotePrefix="0" xfId="0">
      <alignment horizontal="center" vertical="center"/>
    </xf>
    <xf numFmtId="0" fontId="0" fillId="3" borderId="1" pivotButton="0" quotePrefix="0" xfId="0"/>
    <xf numFmtId="0" fontId="9" fillId="5" borderId="1" applyAlignment="1" pivotButton="0" quotePrefix="0" xfId="0">
      <alignment horizontal="center" vertical="center"/>
    </xf>
    <xf numFmtId="0" fontId="4" fillId="0" borderId="1" applyAlignment="1" pivotButton="0" quotePrefix="0" xfId="0">
      <alignment horizontal="center" vertical="center"/>
    </xf>
    <xf numFmtId="0" fontId="5" fillId="5" borderId="1" applyAlignment="1" pivotButton="0" quotePrefix="0" xfId="0">
      <alignment horizontal="center" vertical="center"/>
    </xf>
    <xf numFmtId="9" fontId="6" fillId="5" borderId="1" applyAlignment="1" pivotButton="0" quotePrefix="0" xfId="0">
      <alignment horizontal="center" vertical="center"/>
    </xf>
    <xf numFmtId="0" fontId="5" fillId="0" borderId="0" pivotButton="0" quotePrefix="0" xfId="0"/>
    <xf numFmtId="0" fontId="7"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16" customWidth="1" min="3" max="3"/>
    <col width="16" customWidth="1" min="4" max="4"/>
    <col width="16" customWidth="1" min="5" max="5"/>
    <col width="16" customWidth="1" min="6" max="6"/>
    <col width="16" customWidth="1" min="7" max="7"/>
    <col width="16" customWidth="1" min="8" max="8"/>
  </cols>
  <sheetData>
    <row r="1" ht="40" customHeight="1">
      <c r="A1" s="1" t="inlineStr">
        <is>
          <t>GRILLE DE SCORING VILLE / QUARTIER</t>
        </is>
      </c>
    </row>
    <row r="2">
      <c r="A2" s="2" t="inlineStr">
        <is>
          <t>La méthode Emeline SIRON — Comparez jusqu'à 5 villes/quartiers. Notez de 1 (mauvais) à 5 (excellent). Cases jaunes = à remplir.</t>
        </is>
      </c>
    </row>
    <row r="4" ht="30" customHeight="1">
      <c r="A4" s="3" t="inlineStr">
        <is>
          <t>CATÉGORIE</t>
        </is>
      </c>
      <c r="B4" s="3" t="inlineStr">
        <is>
          <t>CRITÈRE</t>
        </is>
      </c>
      <c r="C4" s="3" t="inlineStr">
        <is>
          <t>PONDÉRATION</t>
        </is>
      </c>
      <c r="D4" s="3" t="inlineStr">
        <is>
          <t>VILLE 1</t>
        </is>
      </c>
      <c r="E4" s="3" t="inlineStr">
        <is>
          <t>VILLE 2</t>
        </is>
      </c>
      <c r="F4" s="3" t="inlineStr">
        <is>
          <t>VILLE 3</t>
        </is>
      </c>
      <c r="G4" s="3" t="inlineStr">
        <is>
          <t>VILLE 4</t>
        </is>
      </c>
      <c r="H4" s="3" t="inlineStr">
        <is>
          <t>VILLE 5</t>
        </is>
      </c>
    </row>
    <row r="5">
      <c r="A5" s="4" t="inlineStr"/>
      <c r="B5" s="5" t="inlineStr">
        <is>
          <t>NOM DE LA VILLE →</t>
        </is>
      </c>
      <c r="C5" s="4" t="inlineStr"/>
      <c r="D5" s="6" t="inlineStr"/>
      <c r="E5" s="6" t="inlineStr"/>
      <c r="F5" s="6" t="inlineStr"/>
      <c r="G5" s="6" t="inlineStr"/>
      <c r="H5" s="6" t="inlineStr"/>
    </row>
    <row r="6" ht="30" customHeight="1">
      <c r="A6" s="7" t="inlineStr">
        <is>
          <t>DÉMOGRAPHIE &amp; ÉCONOMIE</t>
        </is>
      </c>
      <c r="B6" s="4" t="inlineStr">
        <is>
          <t>Croissance démographique (5 ans)</t>
        </is>
      </c>
      <c r="C6" s="8" t="n">
        <v>3</v>
      </c>
      <c r="D6" s="9" t="inlineStr"/>
      <c r="E6" s="9" t="inlineStr"/>
      <c r="F6" s="9" t="inlineStr"/>
      <c r="G6" s="9" t="inlineStr"/>
      <c r="H6" s="9" t="inlineStr"/>
    </row>
    <row r="7" ht="30" customHeight="1">
      <c r="A7" s="10" t="n"/>
      <c r="B7" s="4" t="inlineStr">
        <is>
          <t>Taux de chômage local</t>
        </is>
      </c>
      <c r="C7" s="8" t="n">
        <v>2</v>
      </c>
      <c r="D7" s="9" t="inlineStr"/>
      <c r="E7" s="9" t="inlineStr"/>
      <c r="F7" s="9" t="inlineStr"/>
      <c r="G7" s="9" t="inlineStr"/>
      <c r="H7" s="9" t="inlineStr"/>
    </row>
    <row r="8" ht="30" customHeight="1">
      <c r="A8" s="10" t="n"/>
      <c r="B8" s="4" t="inlineStr">
        <is>
          <t>Bassin d'emploi diversifié</t>
        </is>
      </c>
      <c r="C8" s="8" t="n">
        <v>3</v>
      </c>
      <c r="D8" s="9" t="inlineStr"/>
      <c r="E8" s="9" t="inlineStr"/>
      <c r="F8" s="9" t="inlineStr"/>
      <c r="G8" s="9" t="inlineStr"/>
      <c r="H8" s="9" t="inlineStr"/>
    </row>
    <row r="9" ht="30" customHeight="1">
      <c r="A9" s="10" t="n"/>
      <c r="B9" s="4" t="inlineStr">
        <is>
          <t>Présence universités / grandes écoles</t>
        </is>
      </c>
      <c r="C9" s="8" t="n">
        <v>2</v>
      </c>
      <c r="D9" s="9" t="inlineStr"/>
      <c r="E9" s="9" t="inlineStr"/>
      <c r="F9" s="9" t="inlineStr"/>
      <c r="G9" s="9" t="inlineStr"/>
      <c r="H9" s="9" t="inlineStr"/>
    </row>
    <row r="10" ht="30" customHeight="1">
      <c r="A10" s="10" t="n"/>
      <c r="B10" s="4" t="inlineStr">
        <is>
          <t>Revenu médian des ménages</t>
        </is>
      </c>
      <c r="C10" s="8" t="n">
        <v>1</v>
      </c>
      <c r="D10" s="9" t="inlineStr"/>
      <c r="E10" s="9" t="inlineStr"/>
      <c r="F10" s="9" t="inlineStr"/>
      <c r="G10" s="9" t="inlineStr"/>
      <c r="H10" s="9" t="inlineStr"/>
    </row>
    <row r="11" ht="30" customHeight="1">
      <c r="A11" s="7" t="inlineStr">
        <is>
          <t>MARCHÉ LOCATIF</t>
        </is>
      </c>
      <c r="B11" s="4" t="inlineStr">
        <is>
          <t>Tension locative (demande vs offre)</t>
        </is>
      </c>
      <c r="C11" s="8" t="n">
        <v>4</v>
      </c>
      <c r="D11" s="9" t="inlineStr"/>
      <c r="E11" s="9" t="inlineStr"/>
      <c r="F11" s="9" t="inlineStr"/>
      <c r="G11" s="9" t="inlineStr"/>
      <c r="H11" s="9" t="inlineStr"/>
    </row>
    <row r="12" ht="30" customHeight="1">
      <c r="A12" s="10" t="n"/>
      <c r="B12" s="4" t="inlineStr">
        <is>
          <t>Niveau des loyers vs prix achat</t>
        </is>
      </c>
      <c r="C12" s="8" t="n">
        <v>3</v>
      </c>
      <c r="D12" s="9" t="inlineStr"/>
      <c r="E12" s="9" t="inlineStr"/>
      <c r="F12" s="9" t="inlineStr"/>
      <c r="G12" s="9" t="inlineStr"/>
      <c r="H12" s="9" t="inlineStr"/>
    </row>
    <row r="13" ht="30" customHeight="1">
      <c r="A13" s="10" t="n"/>
      <c r="B13" s="4" t="inlineStr">
        <is>
          <t>Délai moyen de relocation</t>
        </is>
      </c>
      <c r="C13" s="8" t="n">
        <v>3</v>
      </c>
      <c r="D13" s="9" t="inlineStr"/>
      <c r="E13" s="9" t="inlineStr"/>
      <c r="F13" s="9" t="inlineStr"/>
      <c r="G13" s="9" t="inlineStr"/>
      <c r="H13" s="9" t="inlineStr"/>
    </row>
    <row r="14" ht="30" customHeight="1">
      <c r="A14" s="10" t="n"/>
      <c r="B14" s="4" t="inlineStr">
        <is>
          <t>Diversité des locataires potentiels</t>
        </is>
      </c>
      <c r="C14" s="8" t="n">
        <v>2</v>
      </c>
      <c r="D14" s="9" t="inlineStr"/>
      <c r="E14" s="9" t="inlineStr"/>
      <c r="F14" s="9" t="inlineStr"/>
      <c r="G14" s="9" t="inlineStr"/>
      <c r="H14" s="9" t="inlineStr"/>
    </row>
    <row r="15" ht="30" customHeight="1">
      <c r="A15" s="10" t="n"/>
      <c r="B15" s="4" t="inlineStr">
        <is>
          <t>Encadrement des loyers (absence = mieux)</t>
        </is>
      </c>
      <c r="C15" s="8" t="n">
        <v>2</v>
      </c>
      <c r="D15" s="9" t="inlineStr"/>
      <c r="E15" s="9" t="inlineStr"/>
      <c r="F15" s="9" t="inlineStr"/>
      <c r="G15" s="9" t="inlineStr"/>
      <c r="H15" s="9" t="inlineStr"/>
    </row>
    <row r="16" ht="30" customHeight="1">
      <c r="A16" s="7" t="inlineStr">
        <is>
          <t>PRIX &amp; RENTABILITÉ</t>
        </is>
      </c>
      <c r="B16" s="4" t="inlineStr">
        <is>
          <t>Prix au m² (accessibilité)</t>
        </is>
      </c>
      <c r="C16" s="8" t="n">
        <v>3</v>
      </c>
      <c r="D16" s="9" t="inlineStr"/>
      <c r="E16" s="9" t="inlineStr"/>
      <c r="F16" s="9" t="inlineStr"/>
      <c r="G16" s="9" t="inlineStr"/>
      <c r="H16" s="9" t="inlineStr"/>
    </row>
    <row r="17" ht="30" customHeight="1">
      <c r="A17" s="10" t="n"/>
      <c r="B17" s="4" t="inlineStr">
        <is>
          <t>Évolution des prix (5 ans)</t>
        </is>
      </c>
      <c r="C17" s="8" t="n">
        <v>2</v>
      </c>
      <c r="D17" s="9" t="inlineStr"/>
      <c r="E17" s="9" t="inlineStr"/>
      <c r="F17" s="9" t="inlineStr"/>
      <c r="G17" s="9" t="inlineStr"/>
      <c r="H17" s="9" t="inlineStr"/>
    </row>
    <row r="18" ht="30" customHeight="1">
      <c r="A18" s="10" t="n"/>
      <c r="B18" s="4" t="inlineStr">
        <is>
          <t>Rentabilité brute moyenne</t>
        </is>
      </c>
      <c r="C18" s="8" t="n">
        <v>4</v>
      </c>
      <c r="D18" s="9" t="inlineStr"/>
      <c r="E18" s="9" t="inlineStr"/>
      <c r="F18" s="9" t="inlineStr"/>
      <c r="G18" s="9" t="inlineStr"/>
      <c r="H18" s="9" t="inlineStr"/>
    </row>
    <row r="19" ht="30" customHeight="1">
      <c r="A19" s="10" t="n"/>
      <c r="B19" s="4" t="inlineStr">
        <is>
          <t>Potentiel de plus-value</t>
        </is>
      </c>
      <c r="C19" s="8" t="n">
        <v>2</v>
      </c>
      <c r="D19" s="9" t="inlineStr"/>
      <c r="E19" s="9" t="inlineStr"/>
      <c r="F19" s="9" t="inlineStr"/>
      <c r="G19" s="9" t="inlineStr"/>
      <c r="H19" s="9" t="inlineStr"/>
    </row>
    <row r="20" ht="30" customHeight="1">
      <c r="A20" s="10" t="n"/>
      <c r="B20" s="4" t="inlineStr">
        <is>
          <t>Rapport qualité / prix des biens</t>
        </is>
      </c>
      <c r="C20" s="8" t="n">
        <v>3</v>
      </c>
      <c r="D20" s="9" t="inlineStr"/>
      <c r="E20" s="9" t="inlineStr"/>
      <c r="F20" s="9" t="inlineStr"/>
      <c r="G20" s="9" t="inlineStr"/>
      <c r="H20" s="9" t="inlineStr"/>
    </row>
    <row r="21" ht="30" customHeight="1">
      <c r="A21" s="7" t="inlineStr">
        <is>
          <t>ATTRACTIVITÉ &amp; INFRASTRUCTURE</t>
        </is>
      </c>
      <c r="B21" s="4" t="inlineStr">
        <is>
          <t>Transports en commun (métro, tram, bus)</t>
        </is>
      </c>
      <c r="C21" s="8" t="n">
        <v>3</v>
      </c>
      <c r="D21" s="9" t="inlineStr"/>
      <c r="E21" s="9" t="inlineStr"/>
      <c r="F21" s="9" t="inlineStr"/>
      <c r="G21" s="9" t="inlineStr"/>
      <c r="H21" s="9" t="inlineStr"/>
    </row>
    <row r="22" ht="30" customHeight="1">
      <c r="A22" s="10" t="n"/>
      <c r="B22" s="4" t="inlineStr">
        <is>
          <t>Projets d'aménagement urbain</t>
        </is>
      </c>
      <c r="C22" s="8" t="n">
        <v>3</v>
      </c>
      <c r="D22" s="9" t="inlineStr"/>
      <c r="E22" s="9" t="inlineStr"/>
      <c r="F22" s="9" t="inlineStr"/>
      <c r="G22" s="9" t="inlineStr"/>
      <c r="H22" s="9" t="inlineStr"/>
    </row>
    <row r="23" ht="30" customHeight="1">
      <c r="A23" s="10" t="n"/>
      <c r="B23" s="4" t="inlineStr">
        <is>
          <t>Commerces et services de proximité</t>
        </is>
      </c>
      <c r="C23" s="8" t="n">
        <v>2</v>
      </c>
      <c r="D23" s="9" t="inlineStr"/>
      <c r="E23" s="9" t="inlineStr"/>
      <c r="F23" s="9" t="inlineStr"/>
      <c r="G23" s="9" t="inlineStr"/>
      <c r="H23" s="9" t="inlineStr"/>
    </row>
    <row r="24" ht="30" customHeight="1">
      <c r="A24" s="10" t="n"/>
      <c r="B24" s="4" t="inlineStr">
        <is>
          <t>Qualité de vie / cadre</t>
        </is>
      </c>
      <c r="C24" s="8" t="n">
        <v>1</v>
      </c>
      <c r="D24" s="9" t="inlineStr"/>
      <c r="E24" s="9" t="inlineStr"/>
      <c r="F24" s="9" t="inlineStr"/>
      <c r="G24" s="9" t="inlineStr"/>
      <c r="H24" s="9" t="inlineStr"/>
    </row>
    <row r="25" ht="30" customHeight="1">
      <c r="A25" s="10" t="n"/>
      <c r="B25" s="4" t="inlineStr">
        <is>
          <t>Sécurité du quartier</t>
        </is>
      </c>
      <c r="C25" s="8" t="n">
        <v>2</v>
      </c>
      <c r="D25" s="9" t="inlineStr"/>
      <c r="E25" s="9" t="inlineStr"/>
      <c r="F25" s="9" t="inlineStr"/>
      <c r="G25" s="9" t="inlineStr"/>
      <c r="H25" s="9" t="inlineStr"/>
    </row>
    <row r="26" ht="30" customHeight="1">
      <c r="A26" s="7" t="inlineStr">
        <is>
          <t>RÉGLEMENTATION &amp; FISCALITÉ</t>
        </is>
      </c>
      <c r="B26" s="4" t="inlineStr">
        <is>
          <t>Facilité administrative (permis, déclaration)</t>
        </is>
      </c>
      <c r="C26" s="8" t="n">
        <v>1</v>
      </c>
      <c r="D26" s="9" t="inlineStr"/>
      <c r="E26" s="9" t="inlineStr"/>
      <c r="F26" s="9" t="inlineStr"/>
      <c r="G26" s="9" t="inlineStr"/>
      <c r="H26" s="9" t="inlineStr"/>
    </row>
    <row r="27" ht="30" customHeight="1">
      <c r="A27" s="10" t="n"/>
      <c r="B27" s="4" t="inlineStr">
        <is>
          <t>Zone éligible aides (Denormandie, etc.)</t>
        </is>
      </c>
      <c r="C27" s="8" t="n">
        <v>2</v>
      </c>
      <c r="D27" s="9" t="inlineStr"/>
      <c r="E27" s="9" t="inlineStr"/>
      <c r="F27" s="9" t="inlineStr"/>
      <c r="G27" s="9" t="inlineStr"/>
      <c r="H27" s="9" t="inlineStr"/>
    </row>
    <row r="28" ht="30" customHeight="1">
      <c r="A28" s="10" t="n"/>
      <c r="B28" s="4" t="inlineStr">
        <is>
          <t>Taxe foncière raisonnable</t>
        </is>
      </c>
      <c r="C28" s="8" t="n">
        <v>2</v>
      </c>
      <c r="D28" s="9" t="inlineStr"/>
      <c r="E28" s="9" t="inlineStr"/>
      <c r="F28" s="9" t="inlineStr"/>
      <c r="G28" s="9" t="inlineStr"/>
      <c r="H28" s="9" t="inlineStr"/>
    </row>
    <row r="29" ht="30" customHeight="1">
      <c r="A29" s="10" t="n"/>
      <c r="B29" s="4" t="inlineStr">
        <is>
          <t>Réglementation LCD favorable</t>
        </is>
      </c>
      <c r="C29" s="8" t="n">
        <v>1</v>
      </c>
      <c r="D29" s="9" t="inlineStr"/>
      <c r="E29" s="9" t="inlineStr"/>
      <c r="F29" s="9" t="inlineStr"/>
      <c r="G29" s="9" t="inlineStr"/>
      <c r="H29" s="9" t="inlineStr"/>
    </row>
    <row r="31" ht="35" customHeight="1">
      <c r="A31" s="11" t="inlineStr">
        <is>
          <t>SCORE PONDÉRÉ TOTAL</t>
        </is>
      </c>
      <c r="B31" s="12" t="n"/>
      <c r="C31" s="12" t="n"/>
      <c r="D31" s="13">
        <f>SUMPRODUCT(C6:C30,D6:D30)</f>
        <v/>
      </c>
      <c r="E31" s="13">
        <f>SUMPRODUCT(C6:C30,E6:E30)</f>
        <v/>
      </c>
      <c r="F31" s="13">
        <f>SUMPRODUCT(C6:C30,F6:F30)</f>
        <v/>
      </c>
      <c r="G31" s="13">
        <f>SUMPRODUCT(C6:C30,G6:G30)</f>
        <v/>
      </c>
      <c r="H31" s="13">
        <f>SUMPRODUCT(C6:C30,H6:H30)</f>
        <v/>
      </c>
    </row>
    <row r="32">
      <c r="A32" s="14" t="inlineStr">
        <is>
          <t>SCORE MAXIMUM POSSIBLE</t>
        </is>
      </c>
      <c r="D32" s="14">
        <f>SUM(C6:C30)*5</f>
        <v/>
      </c>
      <c r="E32" s="14">
        <f>SUM(C6:C30)*5</f>
        <v/>
      </c>
      <c r="F32" s="14">
        <f>SUM(C6:C30)*5</f>
        <v/>
      </c>
      <c r="G32" s="14">
        <f>SUM(C6:C30)*5</f>
        <v/>
      </c>
      <c r="H32" s="14">
        <f>SUM(C6:C30)*5</f>
        <v/>
      </c>
    </row>
    <row r="33" ht="30" customHeight="1">
      <c r="A33" s="15" t="inlineStr">
        <is>
          <t>% DU SCORE MAXIMUM</t>
        </is>
      </c>
      <c r="D33" s="16">
        <f>IF(D31=0,"",D31/D32)</f>
        <v/>
      </c>
      <c r="E33" s="16">
        <f>IF(E31=0,"",E31/E32)</f>
        <v/>
      </c>
      <c r="F33" s="16">
        <f>IF(F31=0,"",F31/F32)</f>
        <v/>
      </c>
      <c r="G33" s="16">
        <f>IF(G31=0,"",G31/G32)</f>
        <v/>
      </c>
      <c r="H33" s="16">
        <f>IF(H31=0,"",H31/H32)</f>
        <v/>
      </c>
    </row>
    <row r="35">
      <c r="A35" s="17" t="inlineStr">
        <is>
          <t>LÉGENDE DES NOTES :</t>
        </is>
      </c>
    </row>
    <row r="36">
      <c r="A36" s="18" t="inlineStr">
        <is>
          <t>1 = Très mauvais</t>
        </is>
      </c>
    </row>
    <row r="37">
      <c r="A37" s="18" t="inlineStr">
        <is>
          <t>2 = Mauvais</t>
        </is>
      </c>
    </row>
    <row r="38">
      <c r="A38" s="18" t="inlineStr">
        <is>
          <t>3 = Moyen</t>
        </is>
      </c>
    </row>
    <row r="39">
      <c r="A39" s="18" t="inlineStr">
        <is>
          <t>4 = Bon</t>
        </is>
      </c>
    </row>
    <row r="40">
      <c r="A40" s="18" t="inlineStr">
        <is>
          <t>5 = Excellent</t>
        </is>
      </c>
    </row>
    <row r="42">
      <c r="A42" s="17" t="inlineStr">
        <is>
          <t>INTERPRÉTATION DU SCORE :</t>
        </is>
      </c>
    </row>
    <row r="43">
      <c r="A43" s="19" t="inlineStr">
        <is>
          <t>≥ 80%</t>
        </is>
      </c>
      <c r="B43" s="18" t="inlineStr">
        <is>
          <t>🟢 Ville très attractive — Foncez !</t>
        </is>
      </c>
    </row>
    <row r="44">
      <c r="A44" s="19" t="inlineStr">
        <is>
          <t>60-79%</t>
        </is>
      </c>
      <c r="B44" s="18" t="inlineStr">
        <is>
          <t>🟡 Ville intéressante — Creusez les quartiers</t>
        </is>
      </c>
    </row>
    <row r="45">
      <c r="A45" s="19" t="inlineStr">
        <is>
          <t>40-59%</t>
        </is>
      </c>
      <c r="B45" s="18" t="inlineStr">
        <is>
          <t>🟠 Ville moyenne — Identifiez les micro-marchés</t>
        </is>
      </c>
    </row>
    <row r="46">
      <c r="A46" s="19" t="inlineStr">
        <is>
          <t>&lt; 40%</t>
        </is>
      </c>
      <c r="B46" s="18" t="inlineStr">
        <is>
          <t>🔴 Ville à éviter pour l'investissement locatif</t>
        </is>
      </c>
    </row>
  </sheetData>
  <mergeCells count="10">
    <mergeCell ref="A33:C33"/>
    <mergeCell ref="A21:A25"/>
    <mergeCell ref="A26:A29"/>
    <mergeCell ref="A32:C32"/>
    <mergeCell ref="A2:H2"/>
    <mergeCell ref="A31:C31"/>
    <mergeCell ref="A16:A20"/>
    <mergeCell ref="A11:A15"/>
    <mergeCell ref="A1:H1"/>
    <mergeCell ref="A6:A10"/>
  </mergeCells>
  <dataValidations count="1">
    <dataValidation sqref="D6 D7 D8 D9 D10 D11 D12 D13 D14 D15 D16 D17 D18 D19 D20 D21 D22 D23 D24 D25 D26 D27 D28 D29 E6 E7 E8 E9 E10 E11 E12 E13 E14 E15 E16 E17 E18 E19 E20 E21 E22 E23 E24 E25 E26 E27 E28 E29 F6 F7 F8 F9 F10 F11 F12 F13 F14 F15 F16 F17 F18 F19 F20 F21 F22 F23 F24 F25 F26 F27 F28 F29 G6 G7 G8 G9 G10 G11 G12 G13 G14 G15 G16 G17 G18 G19 G20 G21 G22 G23 G24 G25 G26 G27 G28 G29 H6 H7 H8 H9 H10 H11 H12 H13 H14 H15 H16 H17 H18 H19 H20 H21 H22 H23 H24 H25 H26 H27 H28 H29" showDropDown="0" showInputMessage="0" showErrorMessage="0" allowBlank="1" errorTitle="Note invalide" error="Note de 1 à 5 uniquement"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2026-04-11T14:56:44Z</dcterms:created>
  <dcterms:modified xmlns:dcterms="http://purl.org/dc/terms/" xmlns:xsi="http://www.w3.org/2001/XMLSchema-instance" xsi:type="dcterms:W3CDTF">2026-04-11T14:56:44Z</dcterms:modified>
</cp:coreProperties>
</file>