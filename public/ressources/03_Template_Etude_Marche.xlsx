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Étude de marché" sheetId="1" state="visible" r:id="rId1"/>
    <sheet xmlns:r="http://schemas.openxmlformats.org/officeDocument/2006/relationships" name="Sources ut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D5016"/>
      <sz val="16"/>
    </font>
    <font>
      <name val="Arial"/>
      <i val="1"/>
      <color rgb="00888888"/>
      <sz val="9"/>
    </font>
    <font>
      <name val="Arial"/>
      <b val="1"/>
      <color rgb="002D5016"/>
      <sz val="11"/>
    </font>
    <font>
      <name val="Arial"/>
      <b val="1"/>
      <sz val="10"/>
    </font>
    <font>
      <name val="Arial"/>
      <sz val="10"/>
    </font>
    <font>
      <name val="Arial"/>
      <b val="1"/>
      <color rgb="002D5016"/>
      <sz val="14"/>
    </font>
    <font>
      <name val="Arial"/>
      <color rgb="000066CC"/>
      <sz val="10"/>
    </font>
  </fonts>
  <fills count="4">
    <fill>
      <patternFill/>
    </fill>
    <fill>
      <patternFill patternType="gray125"/>
    </fill>
    <fill>
      <patternFill patternType="solid">
        <fgColor rgb="00E8F0E0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6" fillId="2" borderId="0" applyAlignment="1" pivotButton="0" quotePrefix="0" xfId="0">
      <alignment horizontal="center"/>
    </xf>
    <xf numFmtId="0" fontId="3" fillId="2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5" customWidth="1" min="2" max="2"/>
    <col width="42" customWidth="1" min="3" max="3"/>
  </cols>
  <sheetData>
    <row r="1" ht="40" customHeight="1">
      <c r="A1" s="1" t="inlineStr">
        <is>
          <t>TEMPLATE ÉTUDE DE MARCHÉ IMMOBILIER</t>
        </is>
      </c>
    </row>
    <row r="2">
      <c r="A2" s="2" t="inlineStr">
        <is>
          <t>La méthode Emeline SIRON — Remplissez chaque section (cases jaunes = à compléter)</t>
        </is>
      </c>
    </row>
    <row r="4" ht="30" customHeight="1">
      <c r="A4" s="3" t="inlineStr">
        <is>
          <t>1. IDENTIFICATION DU PROJET</t>
        </is>
      </c>
      <c r="B4" s="4" t="n"/>
      <c r="C4" s="4" t="n"/>
    </row>
    <row r="5" ht="28" customHeight="1">
      <c r="A5" s="5" t="inlineStr">
        <is>
          <t>Nom du projet</t>
        </is>
      </c>
      <c r="B5" s="6" t="inlineStr"/>
      <c r="C5" s="7" t="inlineStr">
        <is>
          <t>Ex : Studio T2 Bordeaux Chartrons</t>
        </is>
      </c>
    </row>
    <row r="6" ht="28" customHeight="1">
      <c r="A6" s="5" t="inlineStr">
        <is>
          <t>Date de l'étude</t>
        </is>
      </c>
      <c r="B6" s="6" t="inlineStr"/>
      <c r="C6" s="7" t="inlineStr">
        <is>
          <t>JJ/MM/AAAA</t>
        </is>
      </c>
    </row>
    <row r="7" ht="28" customHeight="1">
      <c r="A7" s="5" t="inlineStr">
        <is>
          <t>Ville ciblée</t>
        </is>
      </c>
      <c r="B7" s="6" t="inlineStr"/>
      <c r="C7" s="7" t="inlineStr"/>
    </row>
    <row r="8" ht="28" customHeight="1">
      <c r="A8" s="5" t="inlineStr">
        <is>
          <t>Quartier(s) ciblé(s)</t>
        </is>
      </c>
      <c r="B8" s="6" t="inlineStr"/>
      <c r="C8" s="7" t="inlineStr"/>
    </row>
    <row r="9" ht="28" customHeight="1">
      <c r="A9" s="5" t="inlineStr">
        <is>
          <t>Type de bien recherché</t>
        </is>
      </c>
      <c r="B9" s="6" t="inlineStr"/>
      <c r="C9" s="7" t="inlineStr">
        <is>
          <t>T1 / T2 / T3 / Maison / Immeuble</t>
        </is>
      </c>
    </row>
    <row r="10" ht="28" customHeight="1">
      <c r="A10" s="5" t="inlineStr">
        <is>
          <t>Budget maximum (FAI)</t>
        </is>
      </c>
      <c r="B10" s="6" t="inlineStr"/>
      <c r="C10" s="7" t="inlineStr">
        <is>
          <t>€</t>
        </is>
      </c>
    </row>
    <row r="11" ht="28" customHeight="1">
      <c r="A11" s="5" t="inlineStr">
        <is>
          <t>Stratégie locative envisagée</t>
        </is>
      </c>
      <c r="B11" s="6" t="inlineStr"/>
      <c r="C11" s="7" t="inlineStr">
        <is>
          <t>Nu / Meublé / LCD / Colocation</t>
        </is>
      </c>
    </row>
    <row r="13" ht="30" customHeight="1">
      <c r="A13" s="3" t="inlineStr">
        <is>
          <t>2. ANALYSE DÉMOGRAPHIQUE</t>
        </is>
      </c>
      <c r="B13" s="4" t="n"/>
      <c r="C13" s="4" t="n"/>
    </row>
    <row r="14" ht="28" customHeight="1">
      <c r="A14" s="5" t="inlineStr">
        <is>
          <t>Population de la ville</t>
        </is>
      </c>
      <c r="B14" s="6" t="inlineStr"/>
      <c r="C14" s="7" t="inlineStr">
        <is>
          <t>Source : INSEE</t>
        </is>
      </c>
    </row>
    <row r="15" ht="28" customHeight="1">
      <c r="A15" s="5" t="inlineStr">
        <is>
          <t>Évolution population 5 ans</t>
        </is>
      </c>
      <c r="B15" s="6" t="inlineStr"/>
      <c r="C15" s="7" t="inlineStr">
        <is>
          <t>+X% ou -X%</t>
        </is>
      </c>
    </row>
    <row r="16" ht="28" customHeight="1">
      <c r="A16" s="5" t="inlineStr">
        <is>
          <t>Tranche d'âge dominante</t>
        </is>
      </c>
      <c r="B16" s="6" t="inlineStr"/>
      <c r="C16" s="7" t="inlineStr">
        <is>
          <t>18-25 / 25-35 / 35-50 / 50+</t>
        </is>
      </c>
    </row>
    <row r="17" ht="28" customHeight="1">
      <c r="A17" s="5" t="inlineStr">
        <is>
          <t>Nombre d'étudiants</t>
        </is>
      </c>
      <c r="B17" s="6" t="inlineStr"/>
      <c r="C17" s="7" t="inlineStr">
        <is>
          <t>Source : ville ou rectorat</t>
        </is>
      </c>
    </row>
    <row r="18" ht="28" customHeight="1">
      <c r="A18" s="5" t="inlineStr">
        <is>
          <t>Taux de chômage local</t>
        </is>
      </c>
      <c r="B18" s="6" t="inlineStr"/>
      <c r="C18" s="7" t="inlineStr">
        <is>
          <t>Source : INSEE / Pôle Emploi</t>
        </is>
      </c>
    </row>
    <row r="19" ht="28" customHeight="1">
      <c r="A19" s="5" t="inlineStr">
        <is>
          <t>Principaux employeurs</t>
        </is>
      </c>
      <c r="B19" s="6" t="inlineStr"/>
      <c r="C19" s="7" t="inlineStr">
        <is>
          <t>Entreprises, hôpitaux, universités...</t>
        </is>
      </c>
    </row>
    <row r="20" ht="28" customHeight="1">
      <c r="A20" s="5" t="inlineStr">
        <is>
          <t>Projets d'infrastructure</t>
        </is>
      </c>
      <c r="B20" s="6" t="inlineStr"/>
      <c r="C20" s="7" t="inlineStr">
        <is>
          <t>Tramway, gare, ZAC, hôpital...</t>
        </is>
      </c>
    </row>
    <row r="22" ht="30" customHeight="1">
      <c r="A22" s="3" t="inlineStr">
        <is>
          <t>3. ANALYSE DU MARCHÉ LOCATIF</t>
        </is>
      </c>
      <c r="B22" s="4" t="n"/>
      <c r="C22" s="4" t="n"/>
    </row>
    <row r="23" ht="28" customHeight="1">
      <c r="A23" s="5" t="inlineStr">
        <is>
          <t>Loyer moyen m² (nu)</t>
        </is>
      </c>
      <c r="B23" s="6" t="inlineStr"/>
      <c r="C23" s="7" t="inlineStr">
        <is>
          <t>Source : SeLoger, MeilleursAgents</t>
        </is>
      </c>
    </row>
    <row r="24" ht="28" customHeight="1">
      <c r="A24" s="5" t="inlineStr">
        <is>
          <t>Loyer moyen m² (meublé)</t>
        </is>
      </c>
      <c r="B24" s="6" t="inlineStr"/>
      <c r="C24" s="7" t="inlineStr">
        <is>
          <t>Source : SeLoger, LeBonCoin</t>
        </is>
      </c>
    </row>
    <row r="25" ht="28" customHeight="1">
      <c r="A25" s="5" t="inlineStr">
        <is>
          <t>Loyer moyen m² (colocation)</t>
        </is>
      </c>
      <c r="B25" s="6" t="inlineStr"/>
      <c r="C25" s="7" t="inlineStr">
        <is>
          <t>Source : Appartager, LeBonCoin</t>
        </is>
      </c>
    </row>
    <row r="26" ht="28" customHeight="1">
      <c r="A26" s="5" t="inlineStr">
        <is>
          <t>Prix nuitée LCD (Airbnb)</t>
        </is>
      </c>
      <c r="B26" s="6" t="inlineStr"/>
      <c r="C26" s="7" t="inlineStr">
        <is>
          <t>Source : AirDNA, Airbnb</t>
        </is>
      </c>
    </row>
    <row r="27" ht="28" customHeight="1">
      <c r="A27" s="5" t="inlineStr">
        <is>
          <t>Taux d'occupation moyen LCD</t>
        </is>
      </c>
      <c r="B27" s="6" t="inlineStr"/>
      <c r="C27" s="7" t="inlineStr">
        <is>
          <t>Source : AirDNA</t>
        </is>
      </c>
    </row>
    <row r="28" ht="28" customHeight="1">
      <c r="A28" s="5" t="inlineStr">
        <is>
          <t>Tension locative (note /5)</t>
        </is>
      </c>
      <c r="B28" s="6" t="inlineStr"/>
      <c r="C28" s="7" t="inlineStr">
        <is>
          <t>1=très détendu, 5=très tendu</t>
        </is>
      </c>
    </row>
    <row r="29" ht="28" customHeight="1">
      <c r="A29" s="5" t="inlineStr">
        <is>
          <t>Délai moyen de relocation</t>
        </is>
      </c>
      <c r="B29" s="6" t="inlineStr"/>
      <c r="C29" s="7" t="inlineStr">
        <is>
          <t>En jours</t>
        </is>
      </c>
    </row>
    <row r="30" ht="28" customHeight="1">
      <c r="A30" s="5" t="inlineStr">
        <is>
          <t>Nb annonces disponibles</t>
        </is>
      </c>
      <c r="B30" s="6" t="inlineStr"/>
      <c r="C30" s="7" t="inlineStr">
        <is>
          <t>Sur SeLoger/LeBonCoin à date</t>
        </is>
      </c>
    </row>
    <row r="31" ht="28" customHeight="1">
      <c r="A31" s="5" t="inlineStr">
        <is>
          <t>Encadrement des loyers ?</t>
        </is>
      </c>
      <c r="B31" s="6" t="inlineStr"/>
      <c r="C31" s="7" t="inlineStr">
        <is>
          <t>Oui / Non — vérifier sur DRIHL</t>
        </is>
      </c>
    </row>
    <row r="33" ht="30" customHeight="1">
      <c r="A33" s="3" t="inlineStr">
        <is>
          <t>4. ANALYSE DES PRIX D'ACHAT</t>
        </is>
      </c>
      <c r="B33" s="4" t="n"/>
      <c r="C33" s="4" t="n"/>
    </row>
    <row r="34" ht="28" customHeight="1">
      <c r="A34" s="5" t="inlineStr">
        <is>
          <t>Prix moyen m² (appartement)</t>
        </is>
      </c>
      <c r="B34" s="6" t="inlineStr"/>
      <c r="C34" s="7" t="inlineStr">
        <is>
          <t>Source : DVF, MeilleursAgents</t>
        </is>
      </c>
    </row>
    <row r="35" ht="28" customHeight="1">
      <c r="A35" s="5" t="inlineStr">
        <is>
          <t>Prix moyen m² (maison)</t>
        </is>
      </c>
      <c r="B35" s="6" t="inlineStr"/>
      <c r="C35" s="7" t="inlineStr">
        <is>
          <t>Source : DVF, MeilleursAgents</t>
        </is>
      </c>
    </row>
    <row r="36" ht="28" customHeight="1">
      <c r="A36" s="5" t="inlineStr">
        <is>
          <t>Évolution prix 5 ans</t>
        </is>
      </c>
      <c r="B36" s="6" t="inlineStr"/>
      <c r="C36" s="7" t="inlineStr">
        <is>
          <t>+X% ou -X%</t>
        </is>
      </c>
    </row>
    <row r="37" ht="28" customHeight="1">
      <c r="A37" s="5" t="inlineStr">
        <is>
          <t>Prix moyen au m² du quartier ciblé</t>
        </is>
      </c>
      <c r="B37" s="6" t="inlineStr"/>
      <c r="C37" s="7" t="inlineStr"/>
    </row>
    <row r="38" ht="28" customHeight="1">
      <c r="A38" s="5" t="inlineStr">
        <is>
          <t>Nombre de ventes récentes (6 mois)</t>
        </is>
      </c>
      <c r="B38" s="6" t="inlineStr"/>
      <c r="C38" s="7" t="inlineStr">
        <is>
          <t>Source : DVF (data.gouv.fr)</t>
        </is>
      </c>
    </row>
    <row r="39" ht="28" customHeight="1">
      <c r="A39" s="5" t="inlineStr">
        <is>
          <t>Fourchette de prix cible</t>
        </is>
      </c>
      <c r="B39" s="6" t="inlineStr"/>
      <c r="C39" s="7" t="inlineStr">
        <is>
          <t>De X€ à Y€</t>
        </is>
      </c>
    </row>
    <row r="41" ht="30" customHeight="1">
      <c r="A41" s="3" t="inlineStr">
        <is>
          <t>5. CALCUL DE RENTABILITÉ PRÉVISIONNELLE</t>
        </is>
      </c>
      <c r="B41" s="4" t="n"/>
      <c r="C41" s="4" t="n"/>
    </row>
    <row r="42" ht="28" customHeight="1">
      <c r="A42" s="5" t="inlineStr">
        <is>
          <t>Prix d'achat estimé (FAI)</t>
        </is>
      </c>
      <c r="B42" s="6" t="inlineStr"/>
      <c r="C42" s="7" t="inlineStr">
        <is>
          <t>€</t>
        </is>
      </c>
    </row>
    <row r="43" ht="28" customHeight="1">
      <c r="A43" s="5" t="inlineStr">
        <is>
          <t>Frais de notaire estimés</t>
        </is>
      </c>
      <c r="B43" s="6" t="inlineStr"/>
      <c r="C43" s="7" t="inlineStr">
        <is>
          <t>7-8% ancien, 2-3% neuf</t>
        </is>
      </c>
    </row>
    <row r="44" ht="28" customHeight="1">
      <c r="A44" s="5" t="inlineStr">
        <is>
          <t>Budget travaux estimé</t>
        </is>
      </c>
      <c r="B44" s="6" t="inlineStr"/>
      <c r="C44" s="7" t="inlineStr">
        <is>
          <t>€</t>
        </is>
      </c>
    </row>
    <row r="45" ht="28" customHeight="1">
      <c r="A45" s="5" t="inlineStr">
        <is>
          <t>Coût total projet</t>
        </is>
      </c>
      <c r="B45" s="6" t="inlineStr"/>
      <c r="C45" s="7">
        <f> Achat + Notaire + Travaux</f>
        <v/>
      </c>
    </row>
    <row r="46" ht="28" customHeight="1">
      <c r="A46" s="5" t="inlineStr">
        <is>
          <t>Loyer mensuel estimé</t>
        </is>
      </c>
      <c r="B46" s="6" t="inlineStr"/>
      <c r="C46" s="7" t="inlineStr">
        <is>
          <t>€/mois</t>
        </is>
      </c>
    </row>
    <row r="47" ht="28" customHeight="1">
      <c r="A47" s="5" t="inlineStr">
        <is>
          <t>Charges annuelles estimées</t>
        </is>
      </c>
      <c r="B47" s="6" t="inlineStr"/>
      <c r="C47" s="7" t="inlineStr">
        <is>
          <t>TF + copro + assurance + gestion</t>
        </is>
      </c>
    </row>
    <row r="48" ht="28" customHeight="1">
      <c r="A48" s="5" t="inlineStr">
        <is>
          <t>Rentabilité brute</t>
        </is>
      </c>
      <c r="B48" s="6" t="inlineStr"/>
      <c r="C48" s="7">
        <f> (Loyer × 12) / Prix achat × 100</f>
        <v/>
      </c>
    </row>
    <row r="49" ht="28" customHeight="1">
      <c r="A49" s="5" t="inlineStr">
        <is>
          <t>Rentabilité nette estimée</t>
        </is>
      </c>
      <c r="B49" s="6" t="inlineStr"/>
      <c r="C49" s="7">
        <f> (Loyer × 12 - Charges) / Coût total × 100</f>
        <v/>
      </c>
    </row>
    <row r="50" ht="28" customHeight="1">
      <c r="A50" s="5" t="inlineStr">
        <is>
          <t>Cashflow mensuel estimé</t>
        </is>
      </c>
      <c r="B50" s="6" t="inlineStr"/>
      <c r="C50" s="7">
        <f> Loyer - Mensualité - Charges mensuelles</f>
        <v/>
      </c>
    </row>
    <row r="52" ht="30" customHeight="1">
      <c r="A52" s="3" t="inlineStr">
        <is>
          <t>6. ANALYSE CONCURRENTIELLE</t>
        </is>
      </c>
      <c r="B52" s="4" t="n"/>
      <c r="C52" s="4" t="n"/>
    </row>
    <row r="53" ht="28" customHeight="1">
      <c r="A53" s="5" t="inlineStr">
        <is>
          <t>Nb annonces similaires en location</t>
        </is>
      </c>
      <c r="B53" s="6" t="inlineStr"/>
      <c r="C53" s="7" t="inlineStr">
        <is>
          <t>Dans un rayon de 1km</t>
        </is>
      </c>
    </row>
    <row r="54" ht="28" customHeight="1">
      <c r="A54" s="5" t="inlineStr">
        <is>
          <t>Qualité des annonces concurrentes</t>
        </is>
      </c>
      <c r="B54" s="6" t="inlineStr"/>
      <c r="C54" s="7" t="inlineStr">
        <is>
          <t>Basse / Moyenne / Haute</t>
        </is>
      </c>
    </row>
    <row r="55" ht="28" customHeight="1">
      <c r="A55" s="5" t="inlineStr">
        <is>
          <t>Points différenciants possibles</t>
        </is>
      </c>
      <c r="B55" s="6" t="inlineStr"/>
      <c r="C55" s="7" t="inlineStr">
        <is>
          <t>Déco, services, emplacement...</t>
        </is>
      </c>
    </row>
    <row r="56" ht="28" customHeight="1">
      <c r="A56" s="5" t="inlineStr">
        <is>
          <t>Risque de vacance estimé</t>
        </is>
      </c>
      <c r="B56" s="6" t="inlineStr"/>
      <c r="C56" s="7" t="inlineStr">
        <is>
          <t>Faible / Moyen / Élevé</t>
        </is>
      </c>
    </row>
    <row r="58" ht="30" customHeight="1">
      <c r="A58" s="3" t="inlineStr">
        <is>
          <t>7. CONCLUSION &amp; DÉCISION</t>
        </is>
      </c>
      <c r="B58" s="4" t="n"/>
      <c r="C58" s="4" t="n"/>
    </row>
    <row r="59" ht="28" customHeight="1">
      <c r="A59" s="5" t="inlineStr">
        <is>
          <t>Points forts du marché</t>
        </is>
      </c>
      <c r="B59" s="6" t="inlineStr"/>
      <c r="C59" s="7" t="inlineStr">
        <is>
          <t>Résumez en 3 points</t>
        </is>
      </c>
    </row>
    <row r="60" ht="28" customHeight="1">
      <c r="A60" s="5" t="inlineStr">
        <is>
          <t>Points faibles / risques</t>
        </is>
      </c>
      <c r="B60" s="6" t="inlineStr"/>
      <c r="C60" s="7" t="inlineStr">
        <is>
          <t>Résumez en 3 points</t>
        </is>
      </c>
    </row>
    <row r="61" ht="28" customHeight="1">
      <c r="A61" s="5" t="inlineStr">
        <is>
          <t>DÉCISION : GO / NO GO</t>
        </is>
      </c>
      <c r="B61" s="6" t="inlineStr"/>
      <c r="C61" s="7" t="inlineStr">
        <is>
          <t>Justifiez votre choix</t>
        </is>
      </c>
    </row>
    <row r="62" ht="28" customHeight="1">
      <c r="A62" s="5" t="inlineStr">
        <is>
          <t>Prochaines étapes si GO</t>
        </is>
      </c>
      <c r="B62" s="6" t="inlineStr"/>
      <c r="C62" s="7" t="inlineStr">
        <is>
          <t>Visites, courtier, offre...</t>
        </is>
      </c>
    </row>
  </sheetData>
  <mergeCells count="9">
    <mergeCell ref="A41:C41"/>
    <mergeCell ref="A13:C13"/>
    <mergeCell ref="A33:C33"/>
    <mergeCell ref="A2:E2"/>
    <mergeCell ref="A58:C58"/>
    <mergeCell ref="A22:C22"/>
    <mergeCell ref="A1:E1"/>
    <mergeCell ref="A4:C4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50" customWidth="1" min="3" max="3"/>
  </cols>
  <sheetData>
    <row r="1" ht="35" customHeight="1">
      <c r="A1" s="8" t="inlineStr">
        <is>
          <t>SOURCES &amp; OUTILS POUR VOTRE ÉTUDE DE MARCHÉ</t>
        </is>
      </c>
    </row>
    <row r="3">
      <c r="A3" s="9" t="inlineStr">
        <is>
          <t>DÉMOGRAPHIE &amp; EMPLOI</t>
        </is>
      </c>
      <c r="B3" s="10" t="inlineStr"/>
      <c r="C3" s="10" t="inlineStr"/>
    </row>
    <row r="4">
      <c r="A4" s="5" t="inlineStr">
        <is>
          <t>INSEE</t>
        </is>
      </c>
      <c r="B4" s="11" t="inlineStr">
        <is>
          <t>insee.fr</t>
        </is>
      </c>
      <c r="C4" s="12" t="inlineStr">
        <is>
          <t>Population, revenus, emploi par commune</t>
        </is>
      </c>
    </row>
    <row r="5">
      <c r="A5" s="5" t="inlineStr">
        <is>
          <t>Pôle Emploi</t>
        </is>
      </c>
      <c r="B5" s="11" t="inlineStr">
        <is>
          <t>pole-emploi.fr</t>
        </is>
      </c>
      <c r="C5" s="12" t="inlineStr">
        <is>
          <t>Taux de chômage local</t>
        </is>
      </c>
    </row>
    <row r="6">
      <c r="A6" s="5" t="inlineStr">
        <is>
          <t>Data.gouv.fr</t>
        </is>
      </c>
      <c r="B6" s="11" t="inlineStr">
        <is>
          <t>data.gouv.fr</t>
        </is>
      </c>
      <c r="C6" s="12" t="inlineStr">
        <is>
          <t>Open data toutes thématiques</t>
        </is>
      </c>
    </row>
    <row r="8">
      <c r="A8" s="9" t="inlineStr">
        <is>
          <t>PRIX IMMOBILIERS</t>
        </is>
      </c>
      <c r="B8" s="10" t="inlineStr"/>
      <c r="C8" s="10" t="inlineStr"/>
    </row>
    <row r="9">
      <c r="A9" s="5" t="inlineStr">
        <is>
          <t>DVF (Demandes de Valeurs Foncières)</t>
        </is>
      </c>
      <c r="B9" s="11" t="inlineStr">
        <is>
          <t>app.dvf.etalab.gouv.fr</t>
        </is>
      </c>
      <c r="C9" s="12" t="inlineStr">
        <is>
          <t>Prix réels des transactions (gratuit)</t>
        </is>
      </c>
    </row>
    <row r="10">
      <c r="A10" s="5" t="inlineStr">
        <is>
          <t>MeilleursAgents</t>
        </is>
      </c>
      <c r="B10" s="11" t="inlineStr">
        <is>
          <t>meilleursagents.com</t>
        </is>
      </c>
      <c r="C10" s="12" t="inlineStr">
        <is>
          <t>Estimations prix au m²</t>
        </is>
      </c>
    </row>
    <row r="11">
      <c r="A11" s="5" t="inlineStr">
        <is>
          <t>SeLoger</t>
        </is>
      </c>
      <c r="B11" s="11" t="inlineStr">
        <is>
          <t>seloger.com</t>
        </is>
      </c>
      <c r="C11" s="12" t="inlineStr">
        <is>
          <t>Prix affichés vente et location</t>
        </is>
      </c>
    </row>
    <row r="12">
      <c r="A12" s="5" t="inlineStr">
        <is>
          <t>Patrim (impots.gouv)</t>
        </is>
      </c>
      <c r="B12" s="11" t="inlineStr">
        <is>
          <t>impots.gouv.fr</t>
        </is>
      </c>
      <c r="C12" s="12" t="inlineStr">
        <is>
          <t>Transactions réelles (accès FranceConnect)</t>
        </is>
      </c>
    </row>
    <row r="14">
      <c r="A14" s="9" t="inlineStr">
        <is>
          <t>MARCHÉ LOCATIF</t>
        </is>
      </c>
      <c r="B14" s="10" t="inlineStr"/>
      <c r="C14" s="10" t="inlineStr"/>
    </row>
    <row r="15">
      <c r="A15" s="5" t="inlineStr">
        <is>
          <t>LeBonCoin</t>
        </is>
      </c>
      <c r="B15" s="11" t="inlineStr">
        <is>
          <t>leboncoin.fr</t>
        </is>
      </c>
      <c r="C15" s="12" t="inlineStr">
        <is>
          <t>Annonces location — volume et prix</t>
        </is>
      </c>
    </row>
    <row r="16">
      <c r="A16" s="5" t="inlineStr">
        <is>
          <t>Appartager</t>
        </is>
      </c>
      <c r="B16" s="11" t="inlineStr">
        <is>
          <t>appartager.com</t>
        </is>
      </c>
      <c r="C16" s="12" t="inlineStr">
        <is>
          <t>Marché colocation</t>
        </is>
      </c>
    </row>
    <row r="17">
      <c r="A17" s="5" t="inlineStr">
        <is>
          <t>LocService</t>
        </is>
      </c>
      <c r="B17" s="11" t="inlineStr">
        <is>
          <t>locservice.fr</t>
        </is>
      </c>
      <c r="C17" s="12" t="inlineStr">
        <is>
          <t>Tension locative par ville</t>
        </is>
      </c>
    </row>
    <row r="18">
      <c r="A18" s="5" t="inlineStr">
        <is>
          <t>Observatoire des loyers</t>
        </is>
      </c>
      <c r="B18" s="11" t="inlineStr">
        <is>
          <t>observatoire-des-loyers.fr</t>
        </is>
      </c>
      <c r="C18" s="12" t="inlineStr">
        <is>
          <t>Loyers de référence</t>
        </is>
      </c>
    </row>
    <row r="20">
      <c r="A20" s="9" t="inlineStr">
        <is>
          <t>LOCATION COURTE DURÉE</t>
        </is>
      </c>
      <c r="B20" s="10" t="inlineStr"/>
      <c r="C20" s="10" t="inlineStr"/>
    </row>
    <row r="21">
      <c r="A21" s="5" t="inlineStr">
        <is>
          <t>AirDNA</t>
        </is>
      </c>
      <c r="B21" s="11" t="inlineStr">
        <is>
          <t>airdna.co</t>
        </is>
      </c>
      <c r="C21" s="12" t="inlineStr">
        <is>
          <t>Données Airbnb : taux occupation, revenus</t>
        </is>
      </c>
    </row>
    <row r="22">
      <c r="A22" s="5" t="inlineStr">
        <is>
          <t>Airbnb</t>
        </is>
      </c>
      <c r="B22" s="11" t="inlineStr">
        <is>
          <t>airbnb.fr</t>
        </is>
      </c>
      <c r="C22" s="12" t="inlineStr">
        <is>
          <t>Prix nuitées et concurrence</t>
        </is>
      </c>
    </row>
    <row r="23">
      <c r="A23" s="5" t="inlineStr">
        <is>
          <t>AllTheRooms</t>
        </is>
      </c>
      <c r="B23" s="11" t="inlineStr">
        <is>
          <t>alltherooms.com</t>
        </is>
      </c>
      <c r="C23" s="12" t="inlineStr">
        <is>
          <t>Analytics multi-plateformes</t>
        </is>
      </c>
    </row>
    <row r="25">
      <c r="A25" s="9" t="inlineStr">
        <is>
          <t>URBANISME &amp; PROJETS</t>
        </is>
      </c>
      <c r="B25" s="10" t="inlineStr"/>
      <c r="C25" s="10" t="inlineStr"/>
    </row>
    <row r="26">
      <c r="A26" s="5" t="inlineStr">
        <is>
          <t>Géoportail urbanisme</t>
        </is>
      </c>
      <c r="B26" s="11" t="inlineStr">
        <is>
          <t>geoportail-urbanisme.gouv.fr</t>
        </is>
      </c>
      <c r="C26" s="12" t="inlineStr">
        <is>
          <t>PLU, zones, servitudes</t>
        </is>
      </c>
    </row>
    <row r="27">
      <c r="A27" s="5" t="inlineStr">
        <is>
          <t>Mairie / site officiel</t>
        </is>
      </c>
      <c r="B27" s="11" t="inlineStr"/>
      <c r="C27" s="12" t="inlineStr">
        <is>
          <t>Projets urbains, transports</t>
        </is>
      </c>
    </row>
    <row r="28">
      <c r="A28" s="5" t="inlineStr">
        <is>
          <t>Registre des copropriétés</t>
        </is>
      </c>
      <c r="B28" s="11" t="inlineStr">
        <is>
          <t>registre-coproprietes.gouv.fr</t>
        </is>
      </c>
      <c r="C28" s="12" t="inlineStr">
        <is>
          <t>Infos copropriétés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2026-04-11T14:52:54Z</dcterms:created>
  <dcterms:modified xmlns:dcterms="http://purl.org/dc/terms/" xmlns:xsi="http://www.w3.org/2001/XMLSchema-instance" xsi:type="dcterms:W3CDTF">2026-04-11T14:52:54Z</dcterms:modified>
</cp:coreProperties>
</file>