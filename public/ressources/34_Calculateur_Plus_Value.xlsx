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Plus-Value N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10">
    <font>
      <name val="Calibri"/>
      <family val="2"/>
      <color theme="1"/>
      <sz val="11"/>
      <scheme val="minor"/>
    </font>
    <font>
      <name val="Arial"/>
      <b val="1"/>
      <color rgb="002C6E55"/>
      <sz val="16"/>
    </font>
    <font>
      <name val="Arial"/>
      <i val="1"/>
      <color rgb="00888888"/>
      <sz val="9"/>
    </font>
    <font>
      <name val="Arial"/>
      <b val="1"/>
      <color rgb="002C6E55"/>
      <sz val="11"/>
    </font>
    <font>
      <name val="Arial"/>
      <b val="1"/>
      <sz val="10"/>
    </font>
    <font>
      <name val="Arial"/>
      <sz val="10"/>
    </font>
    <font>
      <name val="Arial"/>
      <b val="1"/>
      <color rgb="002C6E55"/>
      <sz val="12"/>
    </font>
    <font>
      <name val="Arial"/>
      <b val="1"/>
      <color rgb="002C6E55"/>
      <sz val="14"/>
    </font>
    <font>
      <name val="Arial"/>
      <b val="1"/>
      <color rgb="00CC0000"/>
      <sz val="12"/>
    </font>
    <font>
      <name val="Arial"/>
      <b val="1"/>
      <color rgb="00CC0000"/>
      <sz val="14"/>
    </font>
  </fonts>
  <fills count="6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  <fill>
      <patternFill patternType="solid">
        <fgColor rgb="00D4EDDA"/>
      </patternFill>
    </fill>
    <fill>
      <patternFill patternType="solid">
        <fgColor rgb="00FDDE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164" fontId="7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4" fontId="9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4" fontId="1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0" customWidth="1" min="3" max="3"/>
    <col width="10" customWidth="1" min="4" max="4"/>
  </cols>
  <sheetData>
    <row r="1" ht="40" customHeight="1">
      <c r="A1" s="1" t="inlineStr">
        <is>
          <t>CALCULATEUR PLUS-VALUE NETTE APRÈS IMPÔT</t>
        </is>
      </c>
    </row>
    <row r="2">
      <c r="A2" s="2" t="inlineStr">
        <is>
          <t>La méthode Emeline SIRON — Cases jaunes = à remplir</t>
        </is>
      </c>
    </row>
    <row r="4">
      <c r="A4" s="3" t="inlineStr">
        <is>
          <t>DONNÉES DE L'OPÉRATION</t>
        </is>
      </c>
      <c r="B4" s="4" t="n"/>
      <c r="C4" s="4" t="n"/>
      <c r="D4" s="4" t="n"/>
    </row>
    <row r="5">
      <c r="A5" s="5" t="inlineStr">
        <is>
          <t>Prix de vente</t>
        </is>
      </c>
      <c r="B5" s="6" t="n">
        <v>280000</v>
      </c>
    </row>
    <row r="6">
      <c r="A6" s="5" t="inlineStr">
        <is>
          <t>Prix d'achat</t>
        </is>
      </c>
      <c r="B6" s="6" t="n">
        <v>180000</v>
      </c>
    </row>
    <row r="7">
      <c r="A7" s="5" t="inlineStr">
        <is>
          <t>Frais d'acquisition réels (notaire)</t>
        </is>
      </c>
      <c r="B7" s="6" t="n">
        <v>14400</v>
      </c>
    </row>
    <row r="8">
      <c r="A8" s="5" t="inlineStr">
        <is>
          <t>Travaux réalisés (sur factures)</t>
        </is>
      </c>
      <c r="B8" s="6" t="n">
        <v>20000</v>
      </c>
    </row>
    <row r="9">
      <c r="A9" s="5" t="inlineStr">
        <is>
          <t>Frais de cession (diagnostics, agence)</t>
        </is>
      </c>
      <c r="B9" s="6" t="n">
        <v>5000</v>
      </c>
    </row>
    <row r="10">
      <c r="A10" s="5" t="inlineStr">
        <is>
          <t>Durée de détention (années)</t>
        </is>
      </c>
      <c r="B10" s="7" t="n">
        <v>12</v>
      </c>
    </row>
    <row r="11">
      <c r="A11" s="5" t="inlineStr">
        <is>
          <t>Résidence principale ?</t>
        </is>
      </c>
      <c r="B11" s="7" t="inlineStr">
        <is>
          <t>NON</t>
        </is>
      </c>
      <c r="C11" s="8" t="inlineStr">
        <is>
          <t>(OUI = exonération totale)</t>
        </is>
      </c>
    </row>
    <row r="13">
      <c r="A13" s="3" t="inlineStr">
        <is>
          <t>OPTIONS DE CALCUL</t>
        </is>
      </c>
      <c r="B13" s="4" t="n"/>
      <c r="C13" s="4" t="n"/>
      <c r="D13" s="4" t="n"/>
    </row>
    <row r="14">
      <c r="A14" s="5" t="inlineStr">
        <is>
          <t>Frais d'acquisition forfaitaires (7.5%)</t>
        </is>
      </c>
      <c r="B14" s="9">
        <f>B6*0.075</f>
        <v/>
      </c>
    </row>
    <row r="15">
      <c r="A15" s="5" t="inlineStr">
        <is>
          <t>Forfait travaux 15% (si détention &gt; 5 ans)</t>
        </is>
      </c>
      <c r="B15" s="9">
        <f>IF(B10&gt;5,B6*0.15,0)</f>
        <v/>
      </c>
    </row>
    <row r="16">
      <c r="A16" s="5" t="inlineStr">
        <is>
          <t>Frais retenus (max entre réel et forfait)</t>
        </is>
      </c>
      <c r="B16" s="9">
        <f>MAX(B7,B14)</f>
        <v/>
      </c>
    </row>
    <row r="17">
      <c r="A17" s="5" t="inlineStr">
        <is>
          <t>Travaux retenus (max entre réel et forfait)</t>
        </is>
      </c>
      <c r="B17" s="9">
        <f>MAX(B8,B15)</f>
        <v/>
      </c>
    </row>
    <row r="19">
      <c r="A19" s="3" t="inlineStr">
        <is>
          <t>CALCUL DE LA PLUS-VALUE</t>
        </is>
      </c>
      <c r="B19" s="4" t="n"/>
      <c r="C19" s="4" t="n"/>
      <c r="D19" s="4" t="n"/>
    </row>
    <row r="20">
      <c r="A20" s="5" t="inlineStr">
        <is>
          <t>Prix d'acquisition corrigé</t>
        </is>
      </c>
      <c r="B20" s="9">
        <f>B6+B16+B17</f>
        <v/>
      </c>
    </row>
    <row r="21">
      <c r="A21" s="10" t="inlineStr">
        <is>
          <t>PLUS-VALUE BRUTE</t>
        </is>
      </c>
      <c r="B21" s="11">
        <f>B5-B20-B9</f>
        <v/>
      </c>
    </row>
    <row r="22">
      <c r="A22" s="5" t="inlineStr">
        <is>
          <t>Abattement IR (19%)</t>
        </is>
      </c>
      <c r="B22" s="12">
        <f>IF(B10&lt;6,0,IF(B10&lt;=21,(B10-5)*0.06,IF(B10=22,0.96+0.04,1)))</f>
        <v/>
      </c>
      <c r="C22" s="8" t="inlineStr">
        <is>
          <t>Exonération après 22 ans</t>
        </is>
      </c>
    </row>
    <row r="23">
      <c r="A23" s="5" t="inlineStr">
        <is>
          <t>Abattement PS (17.2%)</t>
        </is>
      </c>
      <c r="B23" s="12">
        <f>IF(B10&lt;6,0,IF(B10&lt;=21,(B10-5)*0.0165,IF(B10=22,0.264+0.016,IF(B10&lt;=30,0.28+(B10-22)*0.09,1))))</f>
        <v/>
      </c>
      <c r="C23" s="8" t="inlineStr">
        <is>
          <t>Exonération après 30 ans</t>
        </is>
      </c>
    </row>
    <row r="24">
      <c r="A24" s="5" t="inlineStr">
        <is>
          <t>PV nette IR</t>
        </is>
      </c>
      <c r="B24" s="9">
        <f>B21*(1-B22)</f>
        <v/>
      </c>
    </row>
    <row r="25">
      <c r="A25" s="5" t="inlineStr">
        <is>
          <t>PV nette PS</t>
        </is>
      </c>
      <c r="B25" s="9">
        <f>B21*(1-B23)</f>
        <v/>
      </c>
    </row>
    <row r="27">
      <c r="A27" s="3" t="inlineStr">
        <is>
          <t>IMPÔTS ET TAXES</t>
        </is>
      </c>
      <c r="B27" s="4" t="n"/>
      <c r="C27" s="4" t="n"/>
      <c r="D27" s="4" t="n"/>
    </row>
    <row r="28">
      <c r="A28" s="5" t="inlineStr">
        <is>
          <t>Impôt sur le revenu (19%)</t>
        </is>
      </c>
      <c r="B28" s="13">
        <f>B24*0.19</f>
        <v/>
      </c>
    </row>
    <row r="29">
      <c r="A29" s="5" t="inlineStr">
        <is>
          <t>Prélèvements sociaux (17.2%)</t>
        </is>
      </c>
      <c r="B29" s="13">
        <f>B25*0.172</f>
        <v/>
      </c>
    </row>
    <row r="30">
      <c r="A30" s="5" t="inlineStr">
        <is>
          <t>Surtaxe (si PV nette IR &gt; 50 000€)</t>
        </is>
      </c>
      <c r="B30" s="13">
        <f>IF(B24&lt;=50000,0,IF(B24&lt;=100000,B24*0.02,IF(B24&lt;=150000,B24*0.03,IF(B24&lt;=200000,B24*0.04,IF(B24&lt;=250000,B24*0.05,B24*0.06)))))</f>
        <v/>
      </c>
    </row>
    <row r="31" ht="35" customHeight="1">
      <c r="A31" s="14" t="inlineStr">
        <is>
          <t>TOTAL IMPÔTS ET TAXES</t>
        </is>
      </c>
      <c r="B31" s="15">
        <f>IF(B11="OUI",0,B28+B29+B30)</f>
        <v/>
      </c>
    </row>
    <row r="33">
      <c r="A33" s="3" t="inlineStr">
        <is>
          <t>RÉSULTAT NET</t>
        </is>
      </c>
      <c r="B33" s="4" t="n"/>
      <c r="C33" s="4" t="n"/>
      <c r="D33" s="4" t="n"/>
    </row>
    <row r="34" ht="40" customHeight="1">
      <c r="A34" s="16" t="inlineStr">
        <is>
          <t>PLUS-VALUE NETTE APRÈS IMPÔT</t>
        </is>
      </c>
      <c r="B34" s="17">
        <f>B21-B31</f>
        <v/>
      </c>
    </row>
    <row r="35">
      <c r="A35" s="5" t="inlineStr">
        <is>
          <t>Taux d'imposition effectif</t>
        </is>
      </c>
      <c r="B35" s="18">
        <f>IF(B21=0,0,B31/B21)</f>
        <v/>
      </c>
    </row>
    <row r="36">
      <c r="A36" s="5" t="inlineStr">
        <is>
          <t>Net vendeur (après impôt et frais)</t>
        </is>
      </c>
      <c r="B36" s="19">
        <f>B5-B31-B9</f>
        <v/>
      </c>
    </row>
  </sheetData>
  <mergeCells count="7">
    <mergeCell ref="A1:D1"/>
    <mergeCell ref="A27:D27"/>
    <mergeCell ref="A4:D4"/>
    <mergeCell ref="A19:D19"/>
    <mergeCell ref="A2:D2"/>
    <mergeCell ref="A33:D33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2026-04-11T17:26:48Z</dcterms:created>
  <dcterms:modified xmlns:dcterms="http://purl.org/dc/terms/" xmlns:xsi="http://www.w3.org/2001/XMLSchema-instance" xsi:type="dcterms:W3CDTF">2026-04-11T17:26:48Z</dcterms:modified>
</cp:coreProperties>
</file>