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ur Effet de Lev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%"/>
    <numFmt numFmtId="166" formatCode="#,##0.00 €"/>
  </numFmts>
  <fonts count="12">
    <font>
      <name val="Calibri"/>
      <family val="2"/>
      <color theme="1"/>
      <sz val="11"/>
      <scheme val="minor"/>
    </font>
    <font>
      <name val="Arial"/>
      <b val="1"/>
      <color rgb="002D5016"/>
      <sz val="16"/>
    </font>
    <font>
      <name val="Arial"/>
      <i val="1"/>
      <color rgb="00888888"/>
      <sz val="9"/>
    </font>
    <font>
      <name val="Arial"/>
      <b val="1"/>
      <color rgb="002D5016"/>
      <sz val="11"/>
    </font>
    <font>
      <name val="Arial"/>
      <b val="1"/>
      <sz val="10"/>
    </font>
    <font>
      <name val="Arial"/>
      <sz val="10"/>
    </font>
    <font>
      <name val="Arial"/>
      <b val="1"/>
      <color rgb="002D5016"/>
      <sz val="12"/>
    </font>
    <font>
      <name val="Arial"/>
      <b val="1"/>
      <color rgb="00FFFFFF"/>
      <sz val="11"/>
    </font>
    <font>
      <name val="Arial"/>
      <b val="1"/>
      <color rgb="002D5016"/>
      <sz val="14"/>
    </font>
    <font>
      <name val="Arial"/>
      <b val="1"/>
      <color rgb="00CC0000"/>
      <sz val="11"/>
    </font>
    <font>
      <name val="Arial"/>
      <b val="1"/>
      <color rgb="00CC0000"/>
      <sz val="14"/>
    </font>
    <font>
      <name val="Arial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E8F0E0"/>
      </patternFill>
    </fill>
    <fill>
      <patternFill patternType="solid">
        <fgColor rgb="00FFF8E1"/>
      </patternFill>
    </fill>
    <fill>
      <patternFill patternType="solid">
        <fgColor rgb="00D4EDDA"/>
      </patternFill>
    </fill>
    <fill>
      <patternFill patternType="solid">
        <fgColor rgb="002D5016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vertical="center" wrapText="1"/>
    </xf>
    <xf numFmtId="164" fontId="5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6" fontId="8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10" fontId="10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SIMULATEUR EFFET DE LEVIER IMMOBILIER</t>
        </is>
      </c>
    </row>
    <row r="2">
      <c r="A2" s="2" t="inlineStr">
        <is>
          <t>La méthode Emeline SIRON — Comparez l'impact de l'apport sur votre rentabilité des fonds propres</t>
        </is>
      </c>
    </row>
    <row r="4">
      <c r="A4" s="3" t="inlineStr">
        <is>
          <t>PARAMÈTRES DU BIEN</t>
        </is>
      </c>
      <c r="B4" s="4" t="n"/>
      <c r="C4" s="4" t="n"/>
      <c r="D4" s="4" t="n"/>
      <c r="E4" s="4" t="n"/>
    </row>
    <row r="5">
      <c r="A5" s="5" t="inlineStr">
        <is>
          <t>Prix d'achat (FAI)</t>
        </is>
      </c>
      <c r="B5" s="6" t="n">
        <v>200000</v>
      </c>
    </row>
    <row r="6">
      <c r="A6" s="5" t="inlineStr">
        <is>
          <t>Frais de notaire</t>
        </is>
      </c>
      <c r="B6" s="6" t="n">
        <v>16000</v>
      </c>
    </row>
    <row r="7">
      <c r="A7" s="5" t="inlineStr">
        <is>
          <t>Travaux + meubles</t>
        </is>
      </c>
      <c r="B7" s="6" t="n">
        <v>15000</v>
      </c>
    </row>
    <row r="8">
      <c r="A8" s="5" t="inlineStr">
        <is>
          <t>Loyer mensuel HC</t>
        </is>
      </c>
      <c r="B8" s="6" t="n">
        <v>850</v>
      </c>
    </row>
    <row r="9">
      <c r="A9" s="5" t="inlineStr">
        <is>
          <t>Charges annuelles totales</t>
        </is>
      </c>
      <c r="B9" s="6" t="n">
        <v>3500</v>
      </c>
    </row>
    <row r="10">
      <c r="A10" s="5" t="inlineStr">
        <is>
          <t>Taux d'intérêt annuel</t>
        </is>
      </c>
      <c r="B10" s="7" t="n">
        <v>0.035</v>
      </c>
    </row>
    <row r="11">
      <c r="A11" s="5" t="inlineStr">
        <is>
          <t>Durée du prêt (années)</t>
        </is>
      </c>
      <c r="B11" s="8" t="n">
        <v>20</v>
      </c>
    </row>
    <row r="12">
      <c r="A12" s="5" t="inlineStr">
        <is>
          <t>Taux assurance</t>
        </is>
      </c>
      <c r="B12" s="7" t="n">
        <v>0.003</v>
      </c>
    </row>
    <row r="13">
      <c r="A13" s="5" t="inlineStr">
        <is>
          <t>Plus-value estimée / an</t>
        </is>
      </c>
      <c r="B13" s="9" t="n">
        <v>0.02</v>
      </c>
    </row>
    <row r="14">
      <c r="A14" s="10" t="inlineStr">
        <is>
          <t>COÛT TOTAL DU PROJET</t>
        </is>
      </c>
      <c r="B14" s="11">
        <f>B5+B6+B7</f>
        <v/>
      </c>
    </row>
    <row r="16">
      <c r="A16" s="3" t="inlineStr">
        <is>
          <t>COMPARATIF SCÉNARIOS D'APPORT</t>
        </is>
      </c>
      <c r="B16" s="4" t="n"/>
      <c r="C16" s="4" t="n"/>
      <c r="D16" s="4" t="n"/>
      <c r="E16" s="4" t="n"/>
      <c r="F16" s="4" t="n"/>
    </row>
    <row r="17">
      <c r="A17" s="12" t="inlineStr">
        <is>
          <t>SCÉNARIO</t>
        </is>
      </c>
      <c r="B17" s="12" t="inlineStr">
        <is>
          <t>0% (110%)</t>
        </is>
      </c>
      <c r="C17" s="12" t="inlineStr">
        <is>
          <t>10%</t>
        </is>
      </c>
      <c r="D17" s="12" t="inlineStr">
        <is>
          <t>20%</t>
        </is>
      </c>
      <c r="E17" s="12" t="inlineStr">
        <is>
          <t>50%</t>
        </is>
      </c>
      <c r="F17" s="12" t="inlineStr">
        <is>
          <t>100% (cash)</t>
        </is>
      </c>
    </row>
    <row r="18">
      <c r="A18" s="5" t="inlineStr">
        <is>
          <t>% Apport</t>
        </is>
      </c>
      <c r="B18" s="13" t="n">
        <v>0</v>
      </c>
      <c r="C18" s="13" t="n">
        <v>0.1</v>
      </c>
      <c r="D18" s="13" t="n">
        <v>0.2</v>
      </c>
      <c r="E18" s="13" t="n">
        <v>0.5</v>
      </c>
      <c r="F18" s="13" t="n">
        <v>1</v>
      </c>
    </row>
    <row r="19">
      <c r="A19" s="5" t="inlineStr">
        <is>
          <t>Apport (€)</t>
        </is>
      </c>
      <c r="B19" s="14">
        <f>B14*B18</f>
        <v/>
      </c>
      <c r="C19" s="14">
        <f>B14*C18</f>
        <v/>
      </c>
      <c r="D19" s="14">
        <f>B14*D18</f>
        <v/>
      </c>
      <c r="E19" s="14">
        <f>B14*E18</f>
        <v/>
      </c>
      <c r="F19" s="14">
        <f>B14*F18</f>
        <v/>
      </c>
    </row>
    <row r="20">
      <c r="A20" s="5" t="inlineStr">
        <is>
          <t>Montant emprunté</t>
        </is>
      </c>
      <c r="B20" s="14">
        <f>B14-B19</f>
        <v/>
      </c>
      <c r="C20" s="14">
        <f>B14-C19</f>
        <v/>
      </c>
      <c r="D20" s="14">
        <f>B14-D19</f>
        <v/>
      </c>
      <c r="E20" s="14">
        <f>B14-E19</f>
        <v/>
      </c>
      <c r="F20" s="14">
        <f>B14-F19</f>
        <v/>
      </c>
    </row>
    <row r="21">
      <c r="A21" s="5" t="inlineStr">
        <is>
          <t>Mensualité crédit</t>
        </is>
      </c>
      <c r="B21" s="15">
        <f>IF(B20=0,0,-PMT(B10/12,B11*12,B20))</f>
        <v/>
      </c>
      <c r="C21" s="15">
        <f>IF(C20=0,0,-PMT(B10/12,B11*12,C20))</f>
        <v/>
      </c>
      <c r="D21" s="15">
        <f>IF(D20=0,0,-PMT(B10/12,B11*12,D20))</f>
        <v/>
      </c>
      <c r="E21" s="15">
        <f>IF(E20=0,0,-PMT(B10/12,B11*12,E20))</f>
        <v/>
      </c>
      <c r="F21" s="15">
        <f>IF(F20=0,0,-PMT(B10/12,B11*12,F20))</f>
        <v/>
      </c>
    </row>
    <row r="22">
      <c r="A22" s="5" t="inlineStr">
        <is>
          <t>Mensualité assurance</t>
        </is>
      </c>
      <c r="B22" s="15">
        <f>B20*B12/12</f>
        <v/>
      </c>
      <c r="C22" s="15">
        <f>C20*B12/12</f>
        <v/>
      </c>
      <c r="D22" s="15">
        <f>D20*B12/12</f>
        <v/>
      </c>
      <c r="E22" s="15">
        <f>E20*B12/12</f>
        <v/>
      </c>
      <c r="F22" s="15">
        <f>F20*B12/12</f>
        <v/>
      </c>
    </row>
    <row r="23" ht="35" customHeight="1">
      <c r="A23" s="16" t="inlineStr">
        <is>
          <t>CASHFLOW MENSUEL</t>
        </is>
      </c>
      <c r="B23" s="17">
        <f>B8-B21-B22-B9/12</f>
        <v/>
      </c>
      <c r="C23" s="17">
        <f>B8-C21-C22-B9/12</f>
        <v/>
      </c>
      <c r="D23" s="17">
        <f>B8-D21-D22-B9/12</f>
        <v/>
      </c>
      <c r="E23" s="17">
        <f>B8-E21-E22-B9/12</f>
        <v/>
      </c>
      <c r="F23" s="17">
        <f>B8-F21-F22-B9/12</f>
        <v/>
      </c>
    </row>
    <row r="24">
      <c r="A24" s="5" t="inlineStr">
        <is>
          <t>Rentabilité brute</t>
        </is>
      </c>
      <c r="B24" s="18">
        <f>B8*12/B5</f>
        <v/>
      </c>
      <c r="C24" s="18">
        <f>B8*12/B5</f>
        <v/>
      </c>
      <c r="D24" s="18">
        <f>B8*12/B5</f>
        <v/>
      </c>
      <c r="E24" s="18">
        <f>B8*12/B5</f>
        <v/>
      </c>
      <c r="F24" s="18">
        <f>B8*12/B5</f>
        <v/>
      </c>
    </row>
    <row r="25" ht="35" customHeight="1">
      <c r="A25" s="19" t="inlineStr">
        <is>
          <t>RENDEMENT FONDS PROPRES (ROE)</t>
        </is>
      </c>
      <c r="B25" s="20">
        <f>IF(B19=0,"∞",(B23*12)/B19)</f>
        <v/>
      </c>
      <c r="C25" s="20">
        <f>IF(C19=0,"∞",(C23*12)/C19)</f>
        <v/>
      </c>
      <c r="D25" s="20">
        <f>IF(D19=0,"∞",(D23*12)/D19)</f>
        <v/>
      </c>
      <c r="E25" s="20">
        <f>IF(E19=0,"∞",(E23*12)/E19)</f>
        <v/>
      </c>
      <c r="F25" s="20">
        <f>IF(F19=0,"∞",(F23*12)/F19)</f>
        <v/>
      </c>
    </row>
    <row r="26">
      <c r="A26" s="5" t="inlineStr">
        <is>
          <t>Valeur du bien à 10 ans</t>
        </is>
      </c>
      <c r="B26" s="14">
        <f>B5*(1+B13)^10</f>
        <v/>
      </c>
      <c r="C26" s="14">
        <f>B5*(1+B13)^10</f>
        <v/>
      </c>
      <c r="D26" s="14">
        <f>B5*(1+B13)^10</f>
        <v/>
      </c>
      <c r="E26" s="14">
        <f>B5*(1+B13)^10</f>
        <v/>
      </c>
      <c r="F26" s="14">
        <f>B5*(1+B13)^10</f>
        <v/>
      </c>
    </row>
    <row r="27">
      <c r="A27" s="5" t="inlineStr">
        <is>
          <t>Plus-value latente à 10 ans</t>
        </is>
      </c>
      <c r="B27" s="14">
        <f>B26-B5</f>
        <v/>
      </c>
      <c r="C27" s="14">
        <f>C26-B5</f>
        <v/>
      </c>
      <c r="D27" s="14">
        <f>D26-B5</f>
        <v/>
      </c>
      <c r="E27" s="14">
        <f>E26-B5</f>
        <v/>
      </c>
      <c r="F27" s="14">
        <f>F26-B5</f>
        <v/>
      </c>
    </row>
    <row r="29">
      <c r="A29" s="21" t="inlineStr">
        <is>
          <t>💡 L'EFFET DE LEVIER EXPLIQUÉ :</t>
        </is>
      </c>
    </row>
    <row r="30" ht="60" customHeight="1">
      <c r="A30" s="22" t="inlineStr">
        <is>
          <t>Avec 0% d'apport, vous investissez 0€ de votre poche mais générez un cashflow. Votre rendement sur fonds propres est théoriquement infini. C'est le principe de l'autofinancement : la banque finance, le locataire rembourse. Plus votre apport est faible, plus le levier est fort — mais plus le risque est élevé en cas de vacance ou d'impayé.</t>
        </is>
      </c>
    </row>
  </sheetData>
  <mergeCells count="5">
    <mergeCell ref="A30:E30"/>
    <mergeCell ref="A16:F16"/>
    <mergeCell ref="A4:E4"/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2026-04-11T15:13:00Z</dcterms:created>
  <dcterms:modified xmlns:dcterms="http://purl.org/dc/terms/" xmlns:xsi="http://www.w3.org/2001/XMLSchema-instance" xsi:type="dcterms:W3CDTF">2026-04-11T15:13:00Z</dcterms:modified>
</cp:coreProperties>
</file>