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QE" sheetId="1" r:id="rId4"/>
    <sheet state="visible" name="Explications" sheetId="2" r:id="rId5"/>
  </sheets>
  <definedNames/>
  <calcPr/>
  <extLst>
    <ext uri="GoogleSheetsCustomDataVersion2">
      <go:sheetsCustomData xmlns:go="http://customooxmlschemas.google.com/" r:id="rId6" roundtripDataChecksum="24OlSzaucBPM8DLkQn3r+uuzUuNEPbbuIN3YXZcQ46Q="/>
    </ext>
  </extLst>
</workbook>
</file>

<file path=xl/sharedStrings.xml><?xml version="1.0" encoding="utf-8"?>
<sst xmlns="http://schemas.openxmlformats.org/spreadsheetml/2006/main" count="460" uniqueCount="202">
  <si>
    <t>Prénom Nom</t>
  </si>
  <si>
    <t>Adresse postale personnelle</t>
  </si>
  <si>
    <r>
      <rPr>
        <rFont val="Arial"/>
        <color rgb="FF000000"/>
        <sz val="12.0"/>
        <u/>
      </rPr>
      <t xml:space="preserve">Tel : 00.XX.XX.XX.XX - </t>
    </r>
    <r>
      <rPr>
        <rFont val="Arial"/>
        <color rgb="FF0000FF"/>
        <sz val="12.0"/>
        <u/>
      </rPr>
      <t>email@email.com</t>
    </r>
  </si>
  <si>
    <t>INFORMATIONS GÉNÉRALES</t>
  </si>
  <si>
    <t>Client : M. Prénom Nom</t>
  </si>
  <si>
    <t>Référence dossier :</t>
  </si>
  <si>
    <t>Adresse des travaux :</t>
  </si>
  <si>
    <t>Taux de TVA appliqué : 10%</t>
  </si>
  <si>
    <t xml:space="preserve">Objet : </t>
  </si>
  <si>
    <t xml:space="preserve">Date : </t>
  </si>
  <si>
    <t>DÉTAIL DES LOTS</t>
  </si>
  <si>
    <t>LOT</t>
  </si>
  <si>
    <t>DÉSIGNATION</t>
  </si>
  <si>
    <t>QTE</t>
  </si>
  <si>
    <t>U</t>
  </si>
  <si>
    <t>PU</t>
  </si>
  <si>
    <t>PT HT</t>
  </si>
  <si>
    <t>PT TTC</t>
  </si>
  <si>
    <t>TVA</t>
  </si>
  <si>
    <t>DÉMOLITION</t>
  </si>
  <si>
    <t>Démolition intérieure</t>
  </si>
  <si>
    <t>m3</t>
  </si>
  <si>
    <t>Dépose et évacuation petite cuisine</t>
  </si>
  <si>
    <t>F</t>
  </si>
  <si>
    <t>Dépose et évacuation grande cuisine</t>
  </si>
  <si>
    <t>SOUS-TOTAL  DÉMOLITION</t>
  </si>
  <si>
    <t>MAÇONNERIE</t>
  </si>
  <si>
    <t>Ouverture fenêtre</t>
  </si>
  <si>
    <t>Ouverture porte</t>
  </si>
  <si>
    <t>Construction mur parpaing</t>
  </si>
  <si>
    <t>m²</t>
  </si>
  <si>
    <t>SOUS-TOTAL MACONNERIE</t>
  </si>
  <si>
    <t>PLATRERIE / ISOLATION</t>
  </si>
  <si>
    <t>Pose cloison sans isolation</t>
  </si>
  <si>
    <t>Pose cloison avec isolation</t>
  </si>
  <si>
    <t>Pose cloison SAD</t>
  </si>
  <si>
    <t>Pose plafond avec isolation</t>
  </si>
  <si>
    <t>Pose doublage mur et isolation</t>
  </si>
  <si>
    <t>Isolation de combles</t>
  </si>
  <si>
    <t>SOUS-TOTAL PLATRERIE</t>
  </si>
  <si>
    <t>PLOMBERIE</t>
  </si>
  <si>
    <t>Fourniture et pose WC classique</t>
  </si>
  <si>
    <t>Fourniture et pose WC suspendu</t>
  </si>
  <si>
    <t>Fourniture et pose douche italienne</t>
  </si>
  <si>
    <t>Fourniture et pose baignoire</t>
  </si>
  <si>
    <t>Fourniture et pose chauffe eau 100L</t>
  </si>
  <si>
    <t>Fourniture et pose chauffe eau 200L</t>
  </si>
  <si>
    <t>Fourniture et pose chauffe eau 300L</t>
  </si>
  <si>
    <t>Fourniture et pose meuble vasque/mitigeur</t>
  </si>
  <si>
    <t>Fourniture et pose évier/mitigeur cuisine</t>
  </si>
  <si>
    <t>Fourniture et pose compteur eau</t>
  </si>
  <si>
    <t>Création alimentation/évacuation WC</t>
  </si>
  <si>
    <t>Création alimentation/évacuation douche</t>
  </si>
  <si>
    <t>Création alimentation/évacuation baignoire</t>
  </si>
  <si>
    <t>Création alimentation/évacuation chauffe eau</t>
  </si>
  <si>
    <t>Création alimentation/évacuation vasque</t>
  </si>
  <si>
    <t>Création alimentation/évacuation cuisine</t>
  </si>
  <si>
    <t>Création alimentation globale</t>
  </si>
  <si>
    <t>Création évacuation globale</t>
  </si>
  <si>
    <t>Dépose WC</t>
  </si>
  <si>
    <t>Dépose douche</t>
  </si>
  <si>
    <t>Dépose baignoire</t>
  </si>
  <si>
    <t>Dépose chauffe eau</t>
  </si>
  <si>
    <t>Dépose lavabo/vasque</t>
  </si>
  <si>
    <t>Dépose évier de cuisine</t>
  </si>
  <si>
    <t>SOUS-TOTAL PLOMBERIE</t>
  </si>
  <si>
    <t>ÉLECTRICITÉ</t>
  </si>
  <si>
    <t>Fourniture et pose tableau électrique studio</t>
  </si>
  <si>
    <t>Fourniture et pose tableau électrique T2/T3</t>
  </si>
  <si>
    <t>Fourniture et pose tableau électrique &gt; T4</t>
  </si>
  <si>
    <t>Fourniture et pose compteur électrique</t>
  </si>
  <si>
    <t>Fourniture et pose prise électrique 16A</t>
  </si>
  <si>
    <t>Fourniture et pose prise électrique 32A</t>
  </si>
  <si>
    <t>Fourniture et pose prise TV</t>
  </si>
  <si>
    <t>Fourniture et pose RJ45</t>
  </si>
  <si>
    <t>Alimentation VMC studio/T2</t>
  </si>
  <si>
    <t>Alimentation VMC &gt; T3</t>
  </si>
  <si>
    <t>Liaison équipotentielle</t>
  </si>
  <si>
    <t>Point lumineux</t>
  </si>
  <si>
    <t>Fourniture et pose compteur à gaz</t>
  </si>
  <si>
    <t>Création d’une colonne électrique 1 à 4 appartements</t>
  </si>
  <si>
    <t>Création d’une colonne électrique 5 à 9 appartements</t>
  </si>
  <si>
    <t>Création d'une colonne électrique 10 à 14 appartements</t>
  </si>
  <si>
    <t>Création d'une colonne électrique &gt; 14 appartements</t>
  </si>
  <si>
    <t>SOUS-TOTAL ÉLECTRICITÉ</t>
  </si>
  <si>
    <t>CHAUFFAGE / CLIM</t>
  </si>
  <si>
    <t>Création plancher chauffant électrique</t>
  </si>
  <si>
    <t>Création plancher chauffant eau</t>
  </si>
  <si>
    <t>Fourniture et pose de radiateur à gaz</t>
  </si>
  <si>
    <t>Fourniture et pose chaudière à gaz</t>
  </si>
  <si>
    <t>Alimentation chauffe eau</t>
  </si>
  <si>
    <t>Alimentation radiateur 1000W</t>
  </si>
  <si>
    <t>Alimentation sèche serviette 500W</t>
  </si>
  <si>
    <t>Dépose radiateur électrique</t>
  </si>
  <si>
    <t>Dépose tableau électrique</t>
  </si>
  <si>
    <t>Dépose radiateur gaz</t>
  </si>
  <si>
    <t>Dépose chaudière à gaz</t>
  </si>
  <si>
    <t>SOUS-TOTAL CLIMATISATION</t>
  </si>
  <si>
    <t>MENUISERIE</t>
  </si>
  <si>
    <t>Fourniture et pose fenêtre simple</t>
  </si>
  <si>
    <t>Fourniture et pose complexe</t>
  </si>
  <si>
    <t>Fourniture et pose porte fenêtre</t>
  </si>
  <si>
    <t>Fourniture et pose porte d’entrée simple</t>
  </si>
  <si>
    <t>Fourniture et pose porte intérieure</t>
  </si>
  <si>
    <t>Fourniture et pose porte inter coulissante</t>
  </si>
  <si>
    <t>Fourniture et pose porte garage motorisée</t>
  </si>
  <si>
    <t>Fourniture et pose porte garage manuelle</t>
  </si>
  <si>
    <t>Fourniture et pose volet manuel</t>
  </si>
  <si>
    <t>Fourniture et pose volet électrique</t>
  </si>
  <si>
    <t>Fourniture et pose grand velux 100x100 cm</t>
  </si>
  <si>
    <t>Fourniture et pose petit velux 100x50 cm</t>
  </si>
  <si>
    <t>Dépose porte d’entrée</t>
  </si>
  <si>
    <t>Dépose fenêtre</t>
  </si>
  <si>
    <t>Dépose porte de garage</t>
  </si>
  <si>
    <t>Dépose velux</t>
  </si>
  <si>
    <t>SOUS-TOTAL MENUISERIE</t>
  </si>
  <si>
    <t>REVÊTEMENTS</t>
  </si>
  <si>
    <t>Fourniture et pose faïence murale</t>
  </si>
  <si>
    <t>Fourniture et pose papier peint</t>
  </si>
  <si>
    <t>Fourniture et pose toile de verre</t>
  </si>
  <si>
    <t>Fourniture et pose parquet massif</t>
  </si>
  <si>
    <t>Fourniture et pose parquet stratifié</t>
  </si>
  <si>
    <t>Fourniture et pose PVC clipsable</t>
  </si>
  <si>
    <t>Fourniture et pose carrelage</t>
  </si>
  <si>
    <t>Fourniture et pose dalle PVC collé</t>
  </si>
  <si>
    <t>Dépose polystyrène mur et plafond</t>
  </si>
  <si>
    <t>Dépose papier peint mur et plafond</t>
  </si>
  <si>
    <t>Dépose de faïence</t>
  </si>
  <si>
    <t>Dépose lambris</t>
  </si>
  <si>
    <t>Ragréage</t>
  </si>
  <si>
    <t>Dépose moquette</t>
  </si>
  <si>
    <t>Dépose parquet</t>
  </si>
  <si>
    <t>Dépose carrelage</t>
  </si>
  <si>
    <t>Dépose lino</t>
  </si>
  <si>
    <t>Dépose plinthes</t>
  </si>
  <si>
    <t>ml</t>
  </si>
  <si>
    <t>SOUS-TOTAL REVÊTEMENTS</t>
  </si>
  <si>
    <t>PEINTURE</t>
  </si>
  <si>
    <t>Mise en peinture mur</t>
  </si>
  <si>
    <t>Mise en peinture plafond</t>
  </si>
  <si>
    <t>Mise en peinture porte + huisserie</t>
  </si>
  <si>
    <t>Mise en peinture plinthes</t>
  </si>
  <si>
    <t>Pose enduit mur</t>
  </si>
  <si>
    <t>SOUS-TOTAL PEINTURE</t>
  </si>
  <si>
    <t>AMÉNAGEMENTS</t>
  </si>
  <si>
    <t>Fourniture et pose cuisine studio/T2</t>
  </si>
  <si>
    <t>Fourniture et pose électroménager studio/T2</t>
  </si>
  <si>
    <t>Fourniture et pose cuisine &gt; T3</t>
  </si>
  <si>
    <t>Fourniture et pose électroménager &gt; T3</t>
  </si>
  <si>
    <t>Dépose cuisine studio/T2</t>
  </si>
  <si>
    <t>Dépose cuisine &gt; T3</t>
  </si>
  <si>
    <t>SOUS-TOTAL AMÉNAGEMENTS</t>
  </si>
  <si>
    <t>MOBILIER</t>
  </si>
  <si>
    <t>Pack mobilier studio</t>
  </si>
  <si>
    <t>Pack mobilier T2</t>
  </si>
  <si>
    <t>Pack mobilier T3</t>
  </si>
  <si>
    <t>Pack mobilier T4</t>
  </si>
  <si>
    <t>Amélioration chambre coloc</t>
  </si>
  <si>
    <t>SOUS-TOTAL MOBILIER</t>
  </si>
  <si>
    <t>DIVERS</t>
  </si>
  <si>
    <t>Charpente en bois</t>
  </si>
  <si>
    <t>Couverture immeuble</t>
  </si>
  <si>
    <t>Création estrade</t>
  </si>
  <si>
    <t>Fourniture et pose escalier en bois</t>
  </si>
  <si>
    <t>Fourniture et pose escalier en métal</t>
  </si>
  <si>
    <t>Ravalement façade projeté</t>
  </si>
  <si>
    <t>Ravalement façade taloché</t>
  </si>
  <si>
    <t>SOUS-TOTAL DIVERS</t>
  </si>
  <si>
    <t>TABLEAU RECAPITULATIF DU BUDGET</t>
  </si>
  <si>
    <t>LOTS</t>
  </si>
  <si>
    <t>ENTREPRISES</t>
  </si>
  <si>
    <t>PLATRERIE</t>
  </si>
  <si>
    <t>Budget prévisionnel</t>
  </si>
  <si>
    <t>TOTAL</t>
  </si>
  <si>
    <t>Différence devis / budget</t>
  </si>
  <si>
    <t>Délai estimatif des travaux</t>
  </si>
  <si>
    <r>
      <rPr>
        <rFont val="Arial"/>
        <color rgb="FF000000"/>
        <sz val="12.0"/>
        <u/>
      </rPr>
      <t xml:space="preserve">Tel : XX.XX.XX.XX.XX - </t>
    </r>
    <r>
      <rPr>
        <rFont val="Arial"/>
        <color rgb="FF0000FF"/>
        <sz val="12.0"/>
        <u/>
      </rPr>
      <t>email@email.com</t>
    </r>
  </si>
  <si>
    <r>
      <rPr>
        <rFont val="Arial"/>
        <color rgb="FF000000"/>
        <sz val="13.0"/>
      </rPr>
      <t xml:space="preserve">Sachez qu’en fonction de l’endroit où vous serez (Paris sera plus cher qu’une ville de province), du type d’artisan que vous prendrez (une société dans le bâtiment sera 
</t>
    </r>
    <r>
      <rPr>
        <rFont val="Arial"/>
        <color rgb="FF000000"/>
        <sz val="13.0"/>
      </rPr>
      <t xml:space="preserve">plus cher qu’un auto-entrepreneur) et des matériaux que vous utiliserez, il y aura une différence par rapport aux prix affichés.
</t>
    </r>
    <r>
      <rPr>
        <rFont val="Arial"/>
        <b/>
        <color rgb="FF000000"/>
        <sz val="13.0"/>
      </rPr>
      <t xml:space="preserve">A noter : Pour vous faciliter la tâche, tous les prix de l’estimation incluent la pose et le matériel. La dépose inclue le démontage et l’enlèvement 
</t>
    </r>
    <r>
      <rPr>
        <rFont val="Arial"/>
        <b/>
        <color rgb="FF000000"/>
        <sz val="13.0"/>
      </rPr>
      <t>à la déchèterie.</t>
    </r>
  </si>
  <si>
    <r>
      <rPr>
        <rFont val="Arial"/>
        <color rgb="FF000000"/>
        <sz val="11.0"/>
      </rPr>
      <t>REMARQUE</t>
    </r>
  </si>
  <si>
    <t>La démolition inclue le démontage et l’enlèvement à la déchèterie.</t>
  </si>
  <si>
    <r>
      <rPr>
        <rFont val="Arial"/>
        <color rgb="FF000000"/>
        <sz val="11.0"/>
      </rPr>
      <t>REMARQUE</t>
    </r>
  </si>
  <si>
    <t>Les ouvertures se font sur murs en parpaing ou en pierre.</t>
  </si>
  <si>
    <r>
      <rPr>
        <rFont val="Arial"/>
        <color rgb="FF000000"/>
        <sz val="11.0"/>
      </rPr>
      <t>REMARQUE</t>
    </r>
  </si>
  <si>
    <r>
      <rPr>
        <rFont val="Arial"/>
        <b/>
        <color rgb="FF000000"/>
        <sz val="12.0"/>
      </rPr>
      <t>Pour chaque poste, la pose et la fourniture du produit est incluse.</t>
    </r>
    <r>
      <rPr>
        <rFont val="Arial"/>
        <color rgb="FF000000"/>
        <sz val="12.0"/>
      </rPr>
      <t xml:space="preserve">
</t>
    </r>
    <r>
      <rPr>
        <rFont val="Arial"/>
        <color rgb="FF000000"/>
        <sz val="12.0"/>
      </rPr>
      <t xml:space="preserve">La pose de cloison ou faux plafond inclue la fourniture et la pose du placo, de l’ossature métallique, les bandes à joints, l’enduit et le ponçage. 
</t>
    </r>
    <r>
      <rPr>
        <rFont val="Arial"/>
        <color rgb="FF000000"/>
        <sz val="12.0"/>
      </rPr>
      <t>Il ne restera plus que la prestation de peinture à faire.</t>
    </r>
  </si>
  <si>
    <r>
      <rPr>
        <rFont val="Arial"/>
        <color rgb="FF000000"/>
        <sz val="11.0"/>
      </rPr>
      <t>REMARQUE</t>
    </r>
  </si>
  <si>
    <r>
      <rPr>
        <rFont val="Arial"/>
        <b/>
        <color rgb="FF000000"/>
        <sz val="12.0"/>
      </rPr>
      <t>Pour chaque poste, la pose et la fourniture du produit est incluse.</t>
    </r>
    <r>
      <rPr>
        <rFont val="Arial"/>
        <color rgb="FF000000"/>
        <sz val="12.0"/>
      </rPr>
      <t xml:space="preserve"> 
</t>
    </r>
    <r>
      <rPr>
        <rFont val="Arial"/>
        <color rgb="FF000000"/>
        <sz val="12.0"/>
      </rPr>
      <t>Les créations</t>
    </r>
    <r>
      <rPr>
        <rFont val="Arial"/>
        <b/>
        <color rgb="FF000000"/>
        <sz val="12.0"/>
      </rPr>
      <t xml:space="preserve"> ALIMENTATION/ÉVACUATION </t>
    </r>
    <r>
      <rPr>
        <rFont val="Arial"/>
        <color rgb="FF000000"/>
        <sz val="12.0"/>
      </rPr>
      <t>d’un produit</t>
    </r>
    <r>
      <rPr>
        <rFont val="Arial"/>
        <b/>
        <color rgb="FF000000"/>
        <sz val="12.0"/>
      </rPr>
      <t xml:space="preserve">, </t>
    </r>
    <r>
      <rPr>
        <rFont val="Arial"/>
        <color rgb="FF000000"/>
        <sz val="12.0"/>
      </rPr>
      <t>puis</t>
    </r>
    <r>
      <rPr>
        <rFont val="Arial"/>
        <b/>
        <color rgb="FF000000"/>
        <sz val="12.0"/>
      </rPr>
      <t xml:space="preserve"> CRÉATION ÉVACUATION GLOBALE </t>
    </r>
    <r>
      <rPr>
        <rFont val="Arial"/>
        <color rgb="FF000000"/>
        <sz val="12.0"/>
      </rPr>
      <t>et</t>
    </r>
    <r>
      <rPr>
        <rFont val="Arial"/>
        <b/>
        <color rgb="FF000000"/>
        <sz val="12.0"/>
      </rPr>
      <t xml:space="preserve"> CRÉATION ALIMENTATION 
</t>
    </r>
    <r>
      <rPr>
        <rFont val="Arial"/>
        <b/>
        <color rgb="FF000000"/>
        <sz val="12.0"/>
      </rPr>
      <t>GLOBALE</t>
    </r>
    <r>
      <rPr>
        <rFont val="Arial"/>
        <color rgb="FF000000"/>
        <sz val="12.0"/>
      </rPr>
      <t xml:space="preserve"> se font lorsque vous partez sur un plateau brut où il n’y a absolument aucune alimentation ou évacuation d’eau. Il faut donc les créer. 
</t>
    </r>
    <r>
      <rPr>
        <rFont val="Arial"/>
        <color rgb="FF000000"/>
        <sz val="12.0"/>
      </rPr>
      <t xml:space="preserve">Cette prestation s’ajoute à la pose.
</t>
    </r>
    <r>
      <rPr>
        <rFont val="Arial"/>
        <color rgb="FF000000"/>
        <sz val="12.0"/>
      </rPr>
      <t>Exemple, vous créez entièrement un appartement, vous devrez prendre </t>
    </r>
    <r>
      <rPr>
        <rFont val="Arial"/>
        <b/>
        <color rgb="FF000000"/>
        <sz val="12.0"/>
      </rPr>
      <t>CRÉATION ÉVACUATION GLOBALE</t>
    </r>
    <r>
      <rPr>
        <rFont val="Arial"/>
        <color rgb="FF000000"/>
        <sz val="12.0"/>
      </rPr>
      <t xml:space="preserve"> + </t>
    </r>
    <r>
      <rPr>
        <rFont val="Arial"/>
        <b/>
        <color rgb="FF000000"/>
        <sz val="12.0"/>
      </rPr>
      <t xml:space="preserve">CRÉATION ALIMENTATION 
</t>
    </r>
    <r>
      <rPr>
        <rFont val="Arial"/>
        <b/>
        <color rgb="FF000000"/>
        <sz val="12.0"/>
      </rPr>
      <t>GLOBALE</t>
    </r>
    <r>
      <rPr>
        <rFont val="Arial"/>
        <color rgb="FF000000"/>
        <sz val="12.0"/>
      </rPr>
      <t xml:space="preserve"> + </t>
    </r>
    <r>
      <rPr>
        <rFont val="Arial"/>
        <b/>
        <color rgb="FF000000"/>
        <sz val="12.0"/>
      </rPr>
      <t>CRÉATION ALIMENTATION/ÉVACUATION</t>
    </r>
    <r>
      <rPr>
        <rFont val="Arial"/>
        <color rgb="FF000000"/>
        <sz val="12.0"/>
      </rPr>
      <t xml:space="preserve"> pour chaque produit (WC, DOUCHE…) + </t>
    </r>
    <r>
      <rPr>
        <rFont val="Arial"/>
        <b/>
        <color rgb="FF000000"/>
        <sz val="12.0"/>
      </rPr>
      <t>FOURNITURE ET POSE</t>
    </r>
    <r>
      <rPr>
        <rFont val="Arial"/>
        <color rgb="FF000000"/>
        <sz val="12.0"/>
      </rPr>
      <t xml:space="preserve"> pour chaque 
</t>
    </r>
    <r>
      <rPr>
        <rFont val="Arial"/>
        <color rgb="FF000000"/>
        <sz val="12.0"/>
      </rPr>
      <t>produit (WC, DOUCHE…).</t>
    </r>
  </si>
  <si>
    <r>
      <rPr>
        <rFont val="Arial"/>
        <color rgb="FF000000"/>
        <sz val="11.0"/>
      </rPr>
      <t>REMARQUE</t>
    </r>
  </si>
  <si>
    <r>
      <rPr>
        <rFont val="Arial"/>
        <b/>
        <color rgb="FF000000"/>
        <sz val="12.0"/>
      </rPr>
      <t>Pour chaque poste, la pose et la fourniture du produit est incluse</t>
    </r>
    <r>
      <rPr>
        <rFont val="Arial"/>
        <color rgb="FF000000"/>
        <sz val="12.0"/>
      </rPr>
      <t xml:space="preserve">. 
</t>
    </r>
    <r>
      <rPr>
        <rFont val="Arial"/>
        <color rgb="FF000000"/>
        <sz val="12.0"/>
      </rPr>
      <t xml:space="preserve">Une prise 32A concerne le four et la plaque de cuisson, tout le reste c’est du 16A. La plupart des prix indiqués concernent la marque Schneider. 
</t>
    </r>
    <r>
      <rPr>
        <rFont val="Arial"/>
        <color rgb="FF000000"/>
        <sz val="12.0"/>
      </rPr>
      <t xml:space="preserve">La liaison équipotentielle est une obligation pour les salles de bain, c’est une sécurité. Il en faut une par salle de bain.
</t>
    </r>
    <r>
      <rPr>
        <rFont val="Arial"/>
        <color rgb="FF000000"/>
        <sz val="12.0"/>
      </rPr>
      <t xml:space="preserve">Pour les colonnes électriques, lorsque vous faites une création de 5 appartements alors qu’il n’y avait qu’un seul compteur à la base, celui-ci ne pourra pas 
</t>
    </r>
    <r>
      <rPr>
        <rFont val="Arial"/>
        <color rgb="FF000000"/>
        <sz val="12.0"/>
      </rPr>
      <t xml:space="preserve">supporter toute la puissance des nouveaux appartements, il faudra donc créer une colonne électrique. </t>
    </r>
    <r>
      <rPr>
        <rFont val="Arial"/>
        <b/>
        <color rgb="FF000000"/>
        <sz val="12.0"/>
      </rPr>
      <t xml:space="preserve">Par contre, seul votre électricien pourra vous 
</t>
    </r>
    <r>
      <rPr>
        <rFont val="Arial"/>
        <b/>
        <color rgb="FF000000"/>
        <sz val="12.0"/>
      </rPr>
      <t>dire si il est nécessaire ou non de devoir créer une nouvelle colonne.</t>
    </r>
  </si>
  <si>
    <r>
      <rPr>
        <rFont val="Arial"/>
        <color rgb="FF000000"/>
        <sz val="11.0"/>
      </rPr>
      <t>REMARQUE</t>
    </r>
  </si>
  <si>
    <r>
      <rPr>
        <rFont val="Arial"/>
        <b/>
        <color rgb="FF000000"/>
        <sz val="12.0"/>
      </rPr>
      <t>Pour chaque poste, la pose et la fourniture du produit est incluse</t>
    </r>
    <r>
      <rPr>
        <rFont val="Arial"/>
        <color rgb="FF000000"/>
        <sz val="12.0"/>
      </rPr>
      <t xml:space="preserve">. 
</t>
    </r>
    <r>
      <rPr>
        <rFont val="Arial"/>
        <color rgb="FF000000"/>
        <sz val="12.0"/>
      </rPr>
      <t xml:space="preserve">Exemple pour ALIMENTATION RADIATEUR 1000W, cela inclue la création de l’alimentation du radiateur, le cache de la prise, la boite d’encastrement, 
</t>
    </r>
    <r>
      <rPr>
        <rFont val="Arial"/>
        <color rgb="FF000000"/>
        <sz val="12.0"/>
      </rPr>
      <t>la pose et le radiateur en lui même.</t>
    </r>
  </si>
  <si>
    <r>
      <rPr>
        <rFont val="Arial"/>
        <color rgb="FF000000"/>
        <sz val="11.0"/>
      </rPr>
      <t>REMARQUE</t>
    </r>
  </si>
  <si>
    <r>
      <rPr>
        <rFont val="Arial"/>
        <b/>
        <color rgb="FF000000"/>
        <sz val="12.0"/>
      </rPr>
      <t>Pour chaque poste, la pose et la fourniture du produit est incluse</t>
    </r>
    <r>
      <rPr>
        <rFont val="Arial"/>
        <color rgb="FF000000"/>
        <sz val="12.0"/>
      </rPr>
      <t>.</t>
    </r>
  </si>
  <si>
    <r>
      <rPr>
        <rFont val="Arial"/>
        <color rgb="FF000000"/>
        <sz val="11.0"/>
      </rPr>
      <t>REMARQUE</t>
    </r>
  </si>
  <si>
    <r>
      <rPr>
        <rFont val="Arial"/>
        <b/>
        <color rgb="FF000000"/>
        <sz val="12.0"/>
      </rPr>
      <t xml:space="preserve">Pour chaque poste, la pose et la fourniture du produit est incluse. 
</t>
    </r>
    <r>
      <rPr>
        <rFont val="Arial"/>
        <color rgb="FF000000"/>
        <sz val="12.0"/>
      </rPr>
      <t>La pose des plinthes est inclue pour chaque prestation.</t>
    </r>
  </si>
  <si>
    <r>
      <rPr>
        <rFont val="Arial"/>
        <color rgb="FF000000"/>
        <sz val="11.0"/>
      </rPr>
      <t>REMARQUE</t>
    </r>
  </si>
  <si>
    <r>
      <rPr>
        <rFont val="Arial"/>
        <b/>
        <color rgb="FF000000"/>
        <sz val="12.0"/>
      </rPr>
      <t xml:space="preserve">Pour chaque poste, la pose et la fourniture du produit est incluse. 
</t>
    </r>
    <r>
      <rPr>
        <rFont val="Arial"/>
        <color rgb="FF000000"/>
        <sz val="12.0"/>
      </rPr>
      <t xml:space="preserve">Concernant l’enduit, il faut en mettre lorsque le mur est en mauvais état, lorsqu’il y a des trous par exemple. L’enduit permet de reboucher les trous, 
</t>
    </r>
    <r>
      <rPr>
        <rFont val="Arial"/>
        <color rgb="FF000000"/>
        <sz val="12.0"/>
      </rPr>
      <t xml:space="preserve">afin de repartir sur un mur plat pour peindre par dessus.
</t>
    </r>
    <r>
      <rPr>
        <rFont val="Arial"/>
        <color rgb="FF000000"/>
        <sz val="12.0"/>
      </rPr>
      <t>La prestation peinture, prend en compte 3 couches de peinture, c’est à dire 1 sous-couche + 2 couches de peinture.</t>
    </r>
  </si>
  <si>
    <r>
      <rPr>
        <rFont val="Arial"/>
        <color rgb="FF000000"/>
        <sz val="11.0"/>
      </rPr>
      <t>REMARQUE</t>
    </r>
  </si>
  <si>
    <r>
      <rPr>
        <rFont val="Arial"/>
        <b/>
        <color rgb="FF000000"/>
        <sz val="12.0"/>
      </rPr>
      <t xml:space="preserve">La cuisine est une vraie cuisine type 1,80m de longueur avec plan de travail.
</t>
    </r>
    <r>
      <rPr>
        <rFont val="Arial"/>
        <b val="0"/>
        <color rgb="FF000000"/>
        <sz val="12.0"/>
      </rPr>
      <t>L’électroménager se compose d’un lave-vaisselle, d’un réfrigérateur, d’une plaque de cuisson, d’une hotte, d’un four, d’un micro-ondes.</t>
    </r>
  </si>
  <si>
    <r>
      <rPr>
        <rFont val="Arial"/>
        <color rgb="FF000000"/>
        <sz val="11.0"/>
      </rPr>
      <t>REMARQUE</t>
    </r>
  </si>
  <si>
    <t>Les packs mobilier se composent également de la décoration et des accessoires complets d’une location meublé.</t>
  </si>
  <si>
    <r>
      <rPr>
        <rFont val="Arial"/>
        <color rgb="FF000000"/>
        <sz val="11.0"/>
      </rPr>
      <t>REMARQUE</t>
    </r>
  </si>
  <si>
    <r>
      <rPr>
        <rFont val="Arial"/>
        <b/>
        <color rgb="FF000000"/>
        <sz val="12.0"/>
      </rPr>
      <t xml:space="preserve">Pour chaque poste, la pose et la fourniture du produit est incluse.
</t>
    </r>
    <r>
      <rPr>
        <rFont val="Arial"/>
        <color rgb="FF000000"/>
        <sz val="12.0"/>
      </rPr>
      <t xml:space="preserve">Les escaliers sont des vrais escaliers pour créer un duplex. L’estrade est nécessaire si vous devez faire une création de SDB par exemple (pour une division 
</t>
    </r>
    <r>
      <rPr>
        <rFont val="Arial"/>
        <color rgb="FF000000"/>
        <sz val="12.0"/>
      </rPr>
      <t>notamment), vous pourrez ainsi y passer les évacuations pour les amener jusqu’à la colonne principale.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</si>
</sst>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&quot; €&quot;"/>
  </numFmts>
  <fonts count="12">
    <font>
      <sz val="10.0"/>
      <color rgb="FF000000"/>
      <name val="Arial"/>
      <scheme val="minor"/>
    </font>
    <font>
      <sz val="11.0"/>
      <color rgb="FF000000"/>
      <name val="Arial"/>
    </font>
    <font/>
    <font>
      <sz val="10.0"/>
      <color rgb="FF000000"/>
      <name val="Arial"/>
    </font>
    <font>
      <sz val="22.0"/>
      <color rgb="FF000000"/>
      <name val="Arial"/>
    </font>
    <font>
      <sz val="12.0"/>
      <color rgb="FF000000"/>
      <name val="Arial"/>
    </font>
    <font>
      <u/>
      <sz val="12.0"/>
      <color rgb="FF000000"/>
      <name val="Arial"/>
    </font>
    <font>
      <sz val="8.0"/>
      <color rgb="FF000000"/>
      <name val="Arial"/>
    </font>
    <font>
      <sz val="14.0"/>
      <color rgb="FF000000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b/>
      <sz val="12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EFB22"/>
        <bgColor rgb="FFFEFB22"/>
      </patternFill>
    </fill>
  </fills>
  <borders count="85">
    <border/>
    <border>
      <left/>
      <right/>
      <top/>
      <bottom/>
    </border>
    <border>
      <left/>
      <top style="thin">
        <color rgb="FFFFFFFF"/>
      </top>
      <bottom style="medium">
        <color rgb="FF000000"/>
      </bottom>
    </border>
    <border>
      <top style="thin">
        <color rgb="FFFFFFFF"/>
      </top>
      <bottom style="medium">
        <color rgb="FF000000"/>
      </bottom>
    </border>
    <border>
      <left/>
      <right style="thin">
        <color rgb="FFFFFFFF"/>
      </right>
      <top style="thin">
        <color rgb="FFFFFFFF"/>
      </top>
      <bottom/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FFFFFF"/>
      </right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top style="medium">
        <color rgb="FF000000"/>
      </top>
    </border>
    <border>
      <top style="medium">
        <color rgb="FF000000"/>
      </top>
    </border>
    <border>
      <left/>
      <right style="thin">
        <color rgb="FFFFFFFF"/>
      </right>
      <top/>
      <bottom/>
    </border>
    <border>
      <left/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left/>
      <top/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/>
      <right/>
      <top/>
      <bottom style="dotted">
        <color rgb="FF000000"/>
      </bottom>
    </border>
    <border>
      <left/>
      <right/>
      <top style="dotted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/>
      <bottom/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medium">
        <color rgb="FF000000"/>
      </bottom>
    </border>
    <border>
      <left style="thin">
        <color rgb="FFAAAAAA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FFFFFF"/>
      </bottom>
    </border>
    <border>
      <left/>
      <right/>
      <top/>
      <bottom style="thin">
        <color rgb="FFFFFFFF"/>
      </bottom>
    </border>
    <border>
      <left/>
      <right/>
      <top style="medium">
        <color rgb="FF000000"/>
      </top>
      <bottom style="thin">
        <color rgb="FFFFFFFF"/>
      </bottom>
    </border>
    <border>
      <left style="thin">
        <color rgb="FFFFFFFF"/>
      </left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/>
      <top/>
    </border>
    <border>
      <top/>
    </border>
    <border>
      <left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horizontal="left" vertical="center"/>
    </xf>
    <xf borderId="3" fillId="0" fontId="2" numFmtId="0" xfId="0" applyBorder="1" applyFont="1"/>
    <xf borderId="4" fillId="2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2" fontId="4" numFmtId="0" xfId="0" applyAlignment="1" applyBorder="1" applyFont="1">
      <alignment horizontal="center" vertical="center"/>
    </xf>
    <xf borderId="6" fillId="2" fontId="5" numFmtId="0" xfId="0" applyAlignment="1" applyBorder="1" applyFont="1">
      <alignment vertical="center"/>
    </xf>
    <xf borderId="7" fillId="0" fontId="2" numFmtId="0" xfId="0" applyBorder="1" applyFont="1"/>
    <xf borderId="8" fillId="0" fontId="2" numFmtId="0" xfId="0" applyBorder="1" applyFont="1"/>
    <xf borderId="9" fillId="2" fontId="1" numFmtId="0" xfId="0" applyAlignment="1" applyBorder="1" applyFont="1">
      <alignment vertical="bottom"/>
    </xf>
    <xf borderId="5" fillId="2" fontId="3" numFmtId="0" xfId="0" applyAlignment="1" applyBorder="1" applyFont="1">
      <alignment horizontal="center" vertical="center"/>
    </xf>
    <xf borderId="10" fillId="0" fontId="5" numFmtId="49" xfId="0" applyAlignment="1" applyBorder="1" applyFont="1" applyNumberFormat="1">
      <alignment horizontal="center" vertical="bottom"/>
    </xf>
    <xf borderId="11" fillId="0" fontId="2" numFmtId="0" xfId="0" applyBorder="1" applyFont="1"/>
    <xf borderId="12" fillId="2" fontId="5" numFmtId="49" xfId="0" applyAlignment="1" applyBorder="1" applyFont="1" applyNumberForma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2" fillId="2" fontId="6" numFmtId="49" xfId="0" applyAlignment="1" applyBorder="1" applyFont="1" applyNumberFormat="1">
      <alignment horizontal="center" vertical="center"/>
    </xf>
    <xf borderId="5" fillId="2" fontId="7" numFmtId="0" xfId="0" applyAlignment="1" applyBorder="1" applyFont="1">
      <alignment horizontal="center" vertical="center"/>
    </xf>
    <xf borderId="15" fillId="2" fontId="5" numFmtId="0" xfId="0" applyAlignment="1" applyBorder="1" applyFont="1">
      <alignment horizontal="center" vertical="center"/>
    </xf>
    <xf borderId="16" fillId="2" fontId="5" numFmtId="0" xfId="0" applyAlignment="1" applyBorder="1" applyFont="1">
      <alignment horizontal="center" vertical="bottom"/>
    </xf>
    <xf borderId="16" fillId="2" fontId="5" numFmtId="0" xfId="0" applyAlignment="1" applyBorder="1" applyFont="1">
      <alignment horizontal="center" vertical="center"/>
    </xf>
    <xf borderId="16" fillId="2" fontId="5" numFmtId="0" xfId="0" applyAlignment="1" applyBorder="1" applyFont="1">
      <alignment horizontal="center" shrinkToFit="0" vertical="center" wrapText="1"/>
    </xf>
    <xf borderId="16" fillId="2" fontId="5" numFmtId="164" xfId="0" applyAlignment="1" applyBorder="1" applyFont="1" applyNumberFormat="1">
      <alignment vertical="bottom"/>
    </xf>
    <xf borderId="17" fillId="2" fontId="5" numFmtId="10" xfId="0" applyAlignment="1" applyBorder="1" applyFont="1" applyNumberFormat="1">
      <alignment vertical="bottom"/>
    </xf>
    <xf borderId="1" fillId="2" fontId="7" numFmtId="0" xfId="0" applyAlignment="1" applyBorder="1" applyFont="1">
      <alignment horizontal="center" vertical="center"/>
    </xf>
    <xf borderId="18" fillId="2" fontId="7" numFmtId="0" xfId="0" applyAlignment="1" applyBorder="1" applyFont="1">
      <alignment horizontal="center" vertical="center"/>
    </xf>
    <xf borderId="19" fillId="0" fontId="2" numFmtId="0" xfId="0" applyBorder="1" applyFont="1"/>
    <xf borderId="20" fillId="2" fontId="1" numFmtId="0" xfId="0" applyAlignment="1" applyBorder="1" applyFont="1">
      <alignment vertical="bottom"/>
    </xf>
    <xf borderId="21" fillId="0" fontId="2" numFmtId="0" xfId="0" applyBorder="1" applyFont="1"/>
    <xf borderId="22" fillId="0" fontId="2" numFmtId="0" xfId="0" applyBorder="1" applyFont="1"/>
    <xf borderId="1" fillId="2" fontId="1" numFmtId="0" xfId="0" applyAlignment="1" applyBorder="1" applyFont="1">
      <alignment vertical="bottom"/>
    </xf>
    <xf borderId="5" fillId="2" fontId="8" numFmtId="0" xfId="0" applyAlignment="1" applyBorder="1" applyFont="1">
      <alignment horizontal="center" vertical="center"/>
    </xf>
    <xf borderId="23" fillId="3" fontId="9" numFmtId="49" xfId="0" applyAlignment="1" applyBorder="1" applyFill="1" applyFont="1" applyNumberFormat="1">
      <alignment horizontal="center" vertical="center"/>
    </xf>
    <xf borderId="24" fillId="0" fontId="2" numFmtId="0" xfId="0" applyBorder="1" applyFont="1"/>
    <xf borderId="25" fillId="0" fontId="2" numFmtId="0" xfId="0" applyBorder="1" applyFont="1"/>
    <xf borderId="1" fillId="2" fontId="8" numFmtId="0" xfId="0" applyAlignment="1" applyBorder="1" applyFont="1">
      <alignment horizontal="center" vertical="center"/>
    </xf>
    <xf borderId="26" fillId="2" fontId="8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left" vertical="center"/>
    </xf>
    <xf borderId="27" fillId="2" fontId="5" numFmtId="49" xfId="0" applyAlignment="1" applyBorder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28" fillId="2" fontId="1" numFmtId="0" xfId="0" applyAlignment="1" applyBorder="1" applyFont="1">
      <alignment horizontal="center" vertical="center"/>
    </xf>
    <xf borderId="29" fillId="0" fontId="2" numFmtId="0" xfId="0" applyBorder="1" applyFont="1"/>
    <xf borderId="1" fillId="2" fontId="10" numFmtId="0" xfId="0" applyAlignment="1" applyBorder="1" applyFont="1">
      <alignment horizontal="center" vertical="bottom"/>
    </xf>
    <xf borderId="9" fillId="2" fontId="10" numFmtId="0" xfId="0" applyAlignment="1" applyBorder="1" applyFont="1">
      <alignment horizontal="center" vertical="bottom"/>
    </xf>
    <xf borderId="30" fillId="2" fontId="8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31" fillId="3" fontId="1" numFmtId="49" xfId="0" applyAlignment="1" applyBorder="1" applyFont="1" applyNumberFormat="1">
      <alignment horizontal="center" vertical="center"/>
    </xf>
    <xf borderId="32" fillId="3" fontId="1" numFmtId="49" xfId="0" applyAlignment="1" applyBorder="1" applyFont="1" applyNumberFormat="1">
      <alignment horizontal="center" vertical="center"/>
    </xf>
    <xf borderId="32" fillId="3" fontId="1" numFmtId="49" xfId="0" applyAlignment="1" applyBorder="1" applyFont="1" applyNumberFormat="1">
      <alignment horizontal="center" shrinkToFit="0" vertical="center" wrapText="1"/>
    </xf>
    <xf borderId="33" fillId="3" fontId="1" numFmtId="49" xfId="0" applyAlignment="1" applyBorder="1" applyFont="1" applyNumberFormat="1">
      <alignment horizontal="center" vertical="center"/>
    </xf>
    <xf borderId="9" fillId="2" fontId="10" numFmtId="0" xfId="0" applyAlignment="1" applyBorder="1" applyFont="1">
      <alignment horizontal="left" vertical="center"/>
    </xf>
    <xf borderId="34" fillId="2" fontId="1" numFmtId="0" xfId="0" applyAlignment="1" applyBorder="1" applyFont="1">
      <alignment horizontal="center" vertical="center"/>
    </xf>
    <xf borderId="35" fillId="2" fontId="11" numFmtId="49" xfId="0" applyAlignment="1" applyBorder="1" applyFont="1" applyNumberFormat="1">
      <alignment horizontal="center" vertical="center"/>
    </xf>
    <xf borderId="36" fillId="2" fontId="1" numFmtId="49" xfId="0" applyAlignment="1" applyBorder="1" applyFont="1" applyNumberFormat="1">
      <alignment horizontal="left" vertical="center"/>
    </xf>
    <xf borderId="36" fillId="4" fontId="1" numFmtId="0" xfId="0" applyAlignment="1" applyBorder="1" applyFill="1" applyFont="1">
      <alignment horizontal="center" vertical="center"/>
    </xf>
    <xf borderId="36" fillId="2" fontId="1" numFmtId="49" xfId="0" applyAlignment="1" applyBorder="1" applyFont="1" applyNumberFormat="1">
      <alignment horizontal="center" vertical="center"/>
    </xf>
    <xf borderId="36" fillId="2" fontId="1" numFmtId="164" xfId="0" applyAlignment="1" applyBorder="1" applyFont="1" applyNumberFormat="1">
      <alignment horizontal="center" readingOrder="0" vertical="center"/>
    </xf>
    <xf borderId="36" fillId="2" fontId="1" numFmtId="164" xfId="0" applyAlignment="1" applyBorder="1" applyFont="1" applyNumberFormat="1">
      <alignment horizontal="center" shrinkToFit="0" vertical="center" wrapText="1"/>
    </xf>
    <xf borderId="36" fillId="2" fontId="1" numFmtId="164" xfId="0" applyAlignment="1" applyBorder="1" applyFont="1" applyNumberFormat="1">
      <alignment horizontal="center" vertical="center"/>
    </xf>
    <xf borderId="37" fillId="2" fontId="1" numFmtId="10" xfId="0" applyAlignment="1" applyBorder="1" applyFont="1" applyNumberFormat="1">
      <alignment horizontal="center" vertical="center"/>
    </xf>
    <xf borderId="38" fillId="0" fontId="2" numFmtId="0" xfId="0" applyBorder="1" applyFont="1"/>
    <xf borderId="39" fillId="0" fontId="2" numFmtId="0" xfId="0" applyBorder="1" applyFont="1"/>
    <xf borderId="40" fillId="0" fontId="2" numFmtId="0" xfId="0" applyBorder="1" applyFont="1"/>
    <xf borderId="5" fillId="2" fontId="1" numFmtId="0" xfId="0" applyAlignment="1" applyBorder="1" applyFont="1">
      <alignment horizontal="right" vertical="center"/>
    </xf>
    <xf borderId="41" fillId="3" fontId="10" numFmtId="49" xfId="0" applyAlignment="1" applyBorder="1" applyFont="1" applyNumberFormat="1">
      <alignment horizontal="center" vertical="center"/>
    </xf>
    <xf borderId="42" fillId="0" fontId="2" numFmtId="0" xfId="0" applyBorder="1" applyFont="1"/>
    <xf borderId="43" fillId="0" fontId="2" numFmtId="0" xfId="0" applyBorder="1" applyFont="1"/>
    <xf borderId="44" fillId="3" fontId="1" numFmtId="164" xfId="0" applyAlignment="1" applyBorder="1" applyFont="1" applyNumberFormat="1">
      <alignment horizontal="center" shrinkToFit="0" vertical="center" wrapText="1"/>
    </xf>
    <xf borderId="44" fillId="3" fontId="10" numFmtId="164" xfId="0" applyAlignment="1" applyBorder="1" applyFont="1" applyNumberFormat="1">
      <alignment horizontal="center" shrinkToFit="0" vertical="center" wrapText="1"/>
    </xf>
    <xf borderId="45" fillId="3" fontId="1" numFmtId="10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right" vertical="center"/>
    </xf>
    <xf borderId="46" fillId="2" fontId="1" numFmtId="0" xfId="0" applyAlignment="1" applyBorder="1" applyFont="1">
      <alignment horizontal="left" vertical="center"/>
    </xf>
    <xf borderId="46" fillId="2" fontId="1" numFmtId="164" xfId="0" applyAlignment="1" applyBorder="1" applyFont="1" applyNumberFormat="1">
      <alignment horizontal="left" shrinkToFit="0" vertical="center" wrapText="1"/>
    </xf>
    <xf borderId="46" fillId="2" fontId="1" numFmtId="10" xfId="0" applyAlignment="1" applyBorder="1" applyFont="1" applyNumberFormat="1">
      <alignment horizontal="left" vertical="center"/>
    </xf>
    <xf borderId="1" fillId="2" fontId="10" numFmtId="0" xfId="0" applyAlignment="1" applyBorder="1" applyFont="1">
      <alignment horizontal="left" vertical="center"/>
    </xf>
    <xf borderId="36" fillId="5" fontId="1" numFmtId="0" xfId="0" applyAlignment="1" applyBorder="1" applyFill="1" applyFont="1">
      <alignment horizontal="center" vertical="center"/>
    </xf>
    <xf borderId="45" fillId="3" fontId="1" numFmtId="10" xfId="0" applyAlignment="1" applyBorder="1" applyFont="1" applyNumberFormat="1">
      <alignment horizontal="left" vertical="center"/>
    </xf>
    <xf borderId="35" fillId="2" fontId="10" numFmtId="49" xfId="0" applyAlignment="1" applyBorder="1" applyFont="1" applyNumberFormat="1">
      <alignment horizontal="center" vertical="center"/>
    </xf>
    <xf borderId="44" fillId="3" fontId="10" numFmtId="164" xfId="0" applyAlignment="1" applyBorder="1" applyFont="1" applyNumberFormat="1">
      <alignment horizontal="center" vertical="center"/>
    </xf>
    <xf borderId="47" fillId="2" fontId="1" numFmtId="0" xfId="0" applyAlignment="1" applyBorder="1" applyFont="1">
      <alignment horizontal="left" vertical="center"/>
    </xf>
    <xf borderId="47" fillId="2" fontId="1" numFmtId="164" xfId="0" applyAlignment="1" applyBorder="1" applyFont="1" applyNumberFormat="1">
      <alignment horizontal="left" shrinkToFit="0" vertical="center" wrapText="1"/>
    </xf>
    <xf borderId="47" fillId="2" fontId="1" numFmtId="164" xfId="0" applyAlignment="1" applyBorder="1" applyFont="1" applyNumberFormat="1">
      <alignment horizontal="left" vertical="center"/>
    </xf>
    <xf borderId="20" fillId="2" fontId="10" numFmtId="0" xfId="0" applyAlignment="1" applyBorder="1" applyFont="1">
      <alignment horizontal="left" vertical="center"/>
    </xf>
    <xf borderId="48" fillId="2" fontId="1" numFmtId="0" xfId="0" applyAlignment="1" applyBorder="1" applyFont="1">
      <alignment horizontal="left" vertical="center"/>
    </xf>
    <xf borderId="48" fillId="2" fontId="1" numFmtId="164" xfId="0" applyAlignment="1" applyBorder="1" applyFont="1" applyNumberFormat="1">
      <alignment horizontal="left" shrinkToFit="0" vertical="center" wrapText="1"/>
    </xf>
    <xf borderId="48" fillId="2" fontId="1" numFmtId="164" xfId="0" applyAlignment="1" applyBorder="1" applyFont="1" applyNumberFormat="1">
      <alignment horizontal="left" vertical="center"/>
    </xf>
    <xf borderId="49" fillId="2" fontId="1" numFmtId="0" xfId="0" applyAlignment="1" applyBorder="1" applyFont="1">
      <alignment horizontal="left" vertical="center"/>
    </xf>
    <xf borderId="49" fillId="2" fontId="1" numFmtId="164" xfId="0" applyAlignment="1" applyBorder="1" applyFont="1" applyNumberFormat="1">
      <alignment horizontal="left" shrinkToFit="0" vertical="center" wrapText="1"/>
    </xf>
    <xf borderId="49" fillId="2" fontId="1" numFmtId="164" xfId="0" applyAlignment="1" applyBorder="1" applyFont="1" applyNumberFormat="1">
      <alignment horizontal="left" vertical="center"/>
    </xf>
    <xf borderId="49" fillId="2" fontId="1" numFmtId="10" xfId="0" applyAlignment="1" applyBorder="1" applyFont="1" applyNumberFormat="1">
      <alignment horizontal="left" vertical="center"/>
    </xf>
    <xf borderId="16" fillId="2" fontId="1" numFmtId="0" xfId="0" applyAlignment="1" applyBorder="1" applyFont="1">
      <alignment horizontal="left" vertical="center"/>
    </xf>
    <xf borderId="16" fillId="2" fontId="1" numFmtId="164" xfId="0" applyAlignment="1" applyBorder="1" applyFont="1" applyNumberFormat="1">
      <alignment horizontal="left" shrinkToFit="0" vertical="center" wrapText="1"/>
    </xf>
    <xf borderId="16" fillId="2" fontId="1" numFmtId="164" xfId="0" applyAlignment="1" applyBorder="1" applyFont="1" applyNumberFormat="1">
      <alignment horizontal="left" vertical="center"/>
    </xf>
    <xf borderId="50" fillId="2" fontId="1" numFmtId="0" xfId="0" applyAlignment="1" applyBorder="1" applyFont="1">
      <alignment horizontal="left" vertical="center"/>
    </xf>
    <xf borderId="50" fillId="2" fontId="1" numFmtId="164" xfId="0" applyAlignment="1" applyBorder="1" applyFont="1" applyNumberFormat="1">
      <alignment horizontal="left" shrinkToFit="0" vertical="center" wrapText="1"/>
    </xf>
    <xf borderId="50" fillId="2" fontId="1" numFmtId="164" xfId="0" applyAlignment="1" applyBorder="1" applyFont="1" applyNumberFormat="1">
      <alignment horizontal="left" vertical="center"/>
    </xf>
    <xf borderId="51" fillId="2" fontId="1" numFmtId="0" xfId="0" applyAlignment="1" applyBorder="1" applyFont="1">
      <alignment horizontal="center" vertical="center"/>
    </xf>
    <xf borderId="36" fillId="3" fontId="1" numFmtId="49" xfId="0" applyAlignment="1" applyBorder="1" applyFont="1" applyNumberFormat="1">
      <alignment horizontal="left" vertical="center"/>
    </xf>
    <xf borderId="36" fillId="3" fontId="1" numFmtId="49" xfId="0" applyAlignment="1" applyBorder="1" applyFont="1" applyNumberFormat="1">
      <alignment horizontal="center" vertical="center"/>
    </xf>
    <xf borderId="52" fillId="2" fontId="3" numFmtId="0" xfId="0" applyAlignment="1" applyBorder="1" applyFont="1">
      <alignment vertical="bottom"/>
    </xf>
    <xf borderId="51" fillId="2" fontId="3" numFmtId="0" xfId="0" applyAlignment="1" applyBorder="1" applyFont="1">
      <alignment vertical="bottom"/>
    </xf>
    <xf borderId="53" fillId="3" fontId="10" numFmtId="49" xfId="0" applyAlignment="1" applyBorder="1" applyFont="1" applyNumberFormat="1">
      <alignment horizontal="center" vertical="center"/>
    </xf>
    <xf borderId="54" fillId="0" fontId="2" numFmtId="0" xfId="0" applyBorder="1" applyFont="1"/>
    <xf borderId="55" fillId="2" fontId="3" numFmtId="0" xfId="0" applyAlignment="1" applyBorder="1" applyFont="1">
      <alignment vertical="bottom"/>
    </xf>
    <xf borderId="51" fillId="2" fontId="1" numFmtId="0" xfId="0" applyAlignment="1" applyBorder="1" applyFont="1">
      <alignment horizontal="left" vertical="center"/>
    </xf>
    <xf borderId="53" fillId="2" fontId="10" numFmtId="164" xfId="0" applyAlignment="1" applyBorder="1" applyFont="1" applyNumberFormat="1">
      <alignment horizontal="center" vertical="bottom"/>
    </xf>
    <xf borderId="56" fillId="2" fontId="1" numFmtId="0" xfId="0" applyAlignment="1" applyBorder="1" applyFont="1">
      <alignment horizontal="left" vertical="center"/>
    </xf>
    <xf borderId="1" fillId="2" fontId="3" numFmtId="0" xfId="0" applyAlignment="1" applyBorder="1" applyFont="1">
      <alignment vertical="bottom"/>
    </xf>
    <xf borderId="56" fillId="2" fontId="1" numFmtId="164" xfId="0" applyAlignment="1" applyBorder="1" applyFont="1" applyNumberFormat="1">
      <alignment horizontal="left" vertical="center"/>
    </xf>
    <xf borderId="56" fillId="2" fontId="1" numFmtId="0" xfId="0" applyAlignment="1" applyBorder="1" applyFont="1">
      <alignment horizontal="left" vertical="bottom"/>
    </xf>
    <xf borderId="56" fillId="2" fontId="1" numFmtId="164" xfId="0" applyAlignment="1" applyBorder="1" applyFont="1" applyNumberFormat="1">
      <alignment horizontal="left" vertical="bottom"/>
    </xf>
    <xf borderId="20" fillId="2" fontId="3" numFmtId="0" xfId="0" applyAlignment="1" applyBorder="1" applyFont="1">
      <alignment vertical="bottom"/>
    </xf>
    <xf borderId="57" fillId="2" fontId="1" numFmtId="0" xfId="0" applyAlignment="1" applyBorder="1" applyFont="1">
      <alignment horizontal="left" vertical="center"/>
    </xf>
    <xf borderId="51" fillId="2" fontId="1" numFmtId="0" xfId="0" applyAlignment="1" applyBorder="1" applyFont="1">
      <alignment vertical="bottom"/>
    </xf>
    <xf borderId="5" fillId="2" fontId="3" numFmtId="0" xfId="0" applyAlignment="1" applyBorder="1" applyFont="1">
      <alignment vertical="bottom"/>
    </xf>
    <xf borderId="58" fillId="3" fontId="10" numFmtId="49" xfId="0" applyAlignment="1" applyBorder="1" applyFont="1" applyNumberFormat="1">
      <alignment horizontal="center" vertical="center"/>
    </xf>
    <xf borderId="59" fillId="0" fontId="2" numFmtId="0" xfId="0" applyBorder="1" applyFont="1"/>
    <xf borderId="60" fillId="0" fontId="2" numFmtId="0" xfId="0" applyBorder="1" applyFont="1"/>
    <xf borderId="9" fillId="2" fontId="3" numFmtId="0" xfId="0" applyAlignment="1" applyBorder="1" applyFont="1">
      <alignment vertical="bottom"/>
    </xf>
    <xf borderId="61" fillId="2" fontId="1" numFmtId="49" xfId="0" applyAlignment="1" applyBorder="1" applyFont="1" applyNumberFormat="1">
      <alignment horizontal="center" vertical="center"/>
    </xf>
    <xf borderId="62" fillId="2" fontId="1" numFmtId="49" xfId="0" applyAlignment="1" applyBorder="1" applyFont="1" applyNumberFormat="1">
      <alignment horizontal="center" shrinkToFit="0" vertical="center" wrapText="1"/>
    </xf>
    <xf borderId="63" fillId="2" fontId="10" numFmtId="49" xfId="0" applyAlignment="1" applyBorder="1" applyFont="1" applyNumberFormat="1">
      <alignment horizontal="center" shrinkToFit="0" vertical="center" wrapText="1"/>
    </xf>
    <xf borderId="64" fillId="0" fontId="2" numFmtId="0" xfId="0" applyBorder="1" applyFont="1"/>
    <xf borderId="65" fillId="2" fontId="1" numFmtId="164" xfId="0" applyAlignment="1" applyBorder="1" applyFont="1" applyNumberFormat="1">
      <alignment horizontal="center" vertical="center"/>
    </xf>
    <xf borderId="66" fillId="2" fontId="1" numFmtId="164" xfId="0" applyAlignment="1" applyBorder="1" applyFont="1" applyNumberFormat="1">
      <alignment horizontal="center" vertical="center"/>
    </xf>
    <xf borderId="67" fillId="2" fontId="10" numFmtId="164" xfId="0" applyAlignment="1" applyBorder="1" applyFont="1" applyNumberFormat="1">
      <alignment horizontal="center" vertical="bottom"/>
    </xf>
    <xf borderId="68" fillId="0" fontId="2" numFmtId="0" xfId="0" applyBorder="1" applyFont="1"/>
    <xf borderId="69" fillId="2" fontId="1" numFmtId="0" xfId="0" applyAlignment="1" applyBorder="1" applyFont="1">
      <alignment horizontal="right" vertical="center"/>
    </xf>
    <xf borderId="70" fillId="2" fontId="1" numFmtId="0" xfId="0" applyAlignment="1" applyBorder="1" applyFont="1">
      <alignment horizontal="right" vertical="center"/>
    </xf>
    <xf borderId="71" fillId="2" fontId="1" numFmtId="0" xfId="0" applyAlignment="1" applyBorder="1" applyFont="1">
      <alignment horizontal="right" vertical="center"/>
    </xf>
    <xf borderId="71" fillId="2" fontId="1" numFmtId="164" xfId="0" applyAlignment="1" applyBorder="1" applyFont="1" applyNumberFormat="1">
      <alignment horizontal="center" shrinkToFit="0" vertical="center" wrapText="1"/>
    </xf>
    <xf borderId="71" fillId="2" fontId="1" numFmtId="164" xfId="0" applyAlignment="1" applyBorder="1" applyFont="1" applyNumberFormat="1">
      <alignment horizontal="center" vertical="bottom"/>
    </xf>
    <xf borderId="71" fillId="2" fontId="1" numFmtId="0" xfId="0" applyAlignment="1" applyBorder="1" applyFont="1">
      <alignment horizontal="center" vertical="bottom"/>
    </xf>
    <xf borderId="20" fillId="2" fontId="10" numFmtId="0" xfId="0" applyAlignment="1" applyBorder="1" applyFont="1">
      <alignment horizontal="center" vertical="bottom"/>
    </xf>
    <xf borderId="72" fillId="2" fontId="3" numFmtId="0" xfId="0" applyAlignment="1" applyBorder="1" applyFont="1">
      <alignment vertical="center"/>
    </xf>
    <xf borderId="73" fillId="2" fontId="3" numFmtId="0" xfId="0" applyAlignment="1" applyBorder="1" applyFont="1">
      <alignment vertical="bottom"/>
    </xf>
    <xf borderId="73" fillId="2" fontId="3" numFmtId="0" xfId="0" applyAlignment="1" applyBorder="1" applyFont="1">
      <alignment horizontal="center" vertical="bottom"/>
    </xf>
    <xf borderId="73" fillId="2" fontId="7" numFmtId="0" xfId="0" applyAlignment="1" applyBorder="1" applyFont="1">
      <alignment horizontal="center" vertical="bottom"/>
    </xf>
    <xf borderId="74" fillId="2" fontId="5" numFmtId="49" xfId="0" applyAlignment="1" applyBorder="1" applyFont="1" applyNumberFormat="1">
      <alignment horizontal="left" shrinkToFit="0" vertical="center" wrapText="1"/>
    </xf>
    <xf borderId="75" fillId="0" fontId="2" numFmtId="0" xfId="0" applyBorder="1" applyFont="1"/>
    <xf borderId="76" fillId="0" fontId="2" numFmtId="0" xfId="0" applyBorder="1" applyFont="1"/>
    <xf borderId="77" fillId="3" fontId="1" numFmtId="49" xfId="0" applyAlignment="1" applyBorder="1" applyFont="1" applyNumberFormat="1">
      <alignment horizontal="center" vertical="center"/>
    </xf>
    <xf borderId="78" fillId="2" fontId="11" numFmtId="49" xfId="0" applyAlignment="1" applyBorder="1" applyFont="1" applyNumberFormat="1">
      <alignment horizontal="left" readingOrder="1" vertical="center"/>
    </xf>
    <xf borderId="79" fillId="0" fontId="2" numFmtId="0" xfId="0" applyBorder="1" applyFont="1"/>
    <xf borderId="80" fillId="0" fontId="2" numFmtId="0" xfId="0" applyBorder="1" applyFont="1"/>
    <xf borderId="81" fillId="0" fontId="2" numFmtId="0" xfId="0" applyBorder="1" applyFont="1"/>
    <xf borderId="82" fillId="0" fontId="2" numFmtId="0" xfId="0" applyBorder="1" applyFont="1"/>
    <xf borderId="83" fillId="0" fontId="2" numFmtId="0" xfId="0" applyBorder="1" applyFont="1"/>
    <xf borderId="84" fillId="0" fontId="2" numFmtId="0" xfId="0" applyBorder="1" applyFont="1"/>
    <xf borderId="41" fillId="3" fontId="10" numFmtId="0" xfId="0" applyAlignment="1" applyBorder="1" applyFont="1">
      <alignment horizontal="center" vertical="center"/>
    </xf>
    <xf borderId="78" fillId="2" fontId="5" numFmtId="49" xfId="0" applyAlignment="1" applyBorder="1" applyFont="1" applyNumberFormat="1">
      <alignment horizontal="left" readingOrder="1" shrinkToFit="0" vertical="center" wrapText="1"/>
    </xf>
    <xf borderId="78" fillId="2" fontId="5" numFmtId="49" xfId="0" applyAlignment="1" applyBorder="1" applyFont="1" applyNumberFormat="1">
      <alignment horizontal="left" readingOrder="1" vertical="center"/>
    </xf>
    <xf borderId="78" fillId="2" fontId="1" numFmtId="49" xfId="0" applyAlignment="1" applyBorder="1" applyFont="1" applyNumberFormat="1">
      <alignment horizontal="left" shrinkToFit="0" vertical="center" wrapText="1"/>
    </xf>
    <xf borderId="78" fillId="2" fontId="11" numFmtId="49" xfId="0" applyAlignment="1" applyBorder="1" applyFont="1" applyNumberFormat="1">
      <alignment horizontal="left" readingOrder="1" shrinkToFit="0" vertical="center" wrapText="1"/>
    </xf>
    <xf borderId="70" fillId="2" fontId="1" numFmtId="164" xfId="0" applyAlignment="1" applyBorder="1" applyFont="1" applyNumberFormat="1">
      <alignment horizontal="center" shrinkToFit="0" vertical="center" wrapText="1"/>
    </xf>
    <xf borderId="70" fillId="2" fontId="1" numFmtId="164" xfId="0" applyAlignment="1" applyBorder="1" applyFont="1" applyNumberFormat="1">
      <alignment horizontal="center" vertical="bottom"/>
    </xf>
    <xf borderId="70" fillId="2" fontId="1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email@e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email@email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5"/>
    <col customWidth="1" min="2" max="2" width="26.5"/>
    <col customWidth="1" min="3" max="3" width="76.0"/>
    <col customWidth="1" min="4" max="4" width="11.38"/>
    <col customWidth="1" min="5" max="5" width="6.88"/>
    <col customWidth="1" min="6" max="6" width="11.38"/>
    <col customWidth="1" min="7" max="7" width="11.63"/>
    <col customWidth="1" min="8" max="9" width="11.38"/>
    <col customWidth="1" min="10" max="10" width="3.88"/>
    <col customWidth="1" min="11" max="26" width="11.38"/>
  </cols>
  <sheetData>
    <row r="1" ht="13.5" customHeight="1">
      <c r="A1" s="1"/>
      <c r="B1" s="2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/>
      <c r="B2" s="7"/>
      <c r="C2" s="8"/>
      <c r="D2" s="8"/>
      <c r="E2" s="8"/>
      <c r="F2" s="8"/>
      <c r="G2" s="8"/>
      <c r="H2" s="8"/>
      <c r="I2" s="9"/>
      <c r="J2" s="10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11"/>
      <c r="B3" s="12" t="s">
        <v>0</v>
      </c>
      <c r="I3" s="13"/>
      <c r="J3" s="10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1"/>
      <c r="B4" s="14" t="s">
        <v>1</v>
      </c>
      <c r="C4" s="15"/>
      <c r="D4" s="15"/>
      <c r="E4" s="15"/>
      <c r="F4" s="15"/>
      <c r="G4" s="15"/>
      <c r="H4" s="15"/>
      <c r="I4" s="16"/>
      <c r="J4" s="10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11"/>
      <c r="B5" s="17" t="s">
        <v>2</v>
      </c>
      <c r="C5" s="15"/>
      <c r="D5" s="15"/>
      <c r="E5" s="15"/>
      <c r="F5" s="15"/>
      <c r="G5" s="15"/>
      <c r="H5" s="15"/>
      <c r="I5" s="16"/>
      <c r="J5" s="10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9.75" customHeight="1">
      <c r="A6" s="18"/>
      <c r="B6" s="19"/>
      <c r="C6" s="20"/>
      <c r="D6" s="20"/>
      <c r="E6" s="20"/>
      <c r="F6" s="21"/>
      <c r="G6" s="22"/>
      <c r="H6" s="23"/>
      <c r="I6" s="24"/>
      <c r="J6" s="10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9.75" customHeight="1">
      <c r="A7" s="25"/>
      <c r="B7" s="26"/>
      <c r="C7" s="27"/>
      <c r="D7" s="27"/>
      <c r="E7" s="27"/>
      <c r="F7" s="27"/>
      <c r="G7" s="27"/>
      <c r="H7" s="27"/>
      <c r="I7" s="27"/>
      <c r="J7" s="2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25"/>
      <c r="B8" s="29"/>
      <c r="C8" s="30"/>
      <c r="D8" s="30"/>
      <c r="E8" s="30"/>
      <c r="F8" s="30"/>
      <c r="G8" s="30"/>
      <c r="H8" s="30"/>
      <c r="I8" s="30"/>
      <c r="J8" s="31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32"/>
      <c r="B9" s="33" t="s">
        <v>3</v>
      </c>
      <c r="C9" s="34"/>
      <c r="D9" s="34"/>
      <c r="E9" s="34"/>
      <c r="F9" s="34"/>
      <c r="G9" s="34"/>
      <c r="H9" s="34"/>
      <c r="I9" s="35"/>
      <c r="J9" s="10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36"/>
      <c r="B10" s="37"/>
      <c r="C10" s="8"/>
      <c r="D10" s="8"/>
      <c r="E10" s="8"/>
      <c r="F10" s="8"/>
      <c r="G10" s="8"/>
      <c r="H10" s="8"/>
      <c r="I10" s="8"/>
      <c r="J10" s="31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38"/>
      <c r="B11" s="39" t="s">
        <v>4</v>
      </c>
      <c r="C11" s="15"/>
      <c r="D11" s="39" t="s">
        <v>5</v>
      </c>
      <c r="E11" s="15"/>
      <c r="F11" s="15"/>
      <c r="G11" s="15"/>
      <c r="H11" s="15"/>
      <c r="I11" s="15"/>
      <c r="J11" s="31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38"/>
      <c r="B12" s="39" t="s">
        <v>6</v>
      </c>
      <c r="C12" s="15"/>
      <c r="D12" s="39" t="s">
        <v>7</v>
      </c>
      <c r="E12" s="15"/>
      <c r="F12" s="15"/>
      <c r="G12" s="15"/>
      <c r="H12" s="15"/>
      <c r="I12" s="15"/>
      <c r="J12" s="31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customHeight="1">
      <c r="A13" s="38"/>
      <c r="B13" s="39" t="s">
        <v>8</v>
      </c>
      <c r="C13" s="15"/>
      <c r="D13" s="39" t="s">
        <v>9</v>
      </c>
      <c r="E13" s="15"/>
      <c r="F13" s="15"/>
      <c r="G13" s="15"/>
      <c r="H13" s="15"/>
      <c r="I13" s="15"/>
      <c r="J13" s="31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75" customHeight="1">
      <c r="A14" s="40"/>
      <c r="B14" s="41"/>
      <c r="C14" s="42"/>
      <c r="D14" s="42"/>
      <c r="E14" s="42"/>
      <c r="F14" s="42"/>
      <c r="G14" s="42"/>
      <c r="H14" s="42"/>
      <c r="I14" s="42"/>
      <c r="J14" s="43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32"/>
      <c r="B15" s="33" t="s">
        <v>10</v>
      </c>
      <c r="C15" s="34"/>
      <c r="D15" s="34"/>
      <c r="E15" s="34"/>
      <c r="F15" s="34"/>
      <c r="G15" s="34"/>
      <c r="H15" s="34"/>
      <c r="I15" s="35"/>
      <c r="J15" s="4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36"/>
      <c r="B16" s="45"/>
      <c r="C16" s="34"/>
      <c r="D16" s="34"/>
      <c r="E16" s="34"/>
      <c r="F16" s="34"/>
      <c r="G16" s="34"/>
      <c r="H16" s="34"/>
      <c r="I16" s="34"/>
      <c r="J16" s="43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4.25" customHeight="1">
      <c r="A17" s="46"/>
      <c r="B17" s="47" t="s">
        <v>11</v>
      </c>
      <c r="C17" s="48" t="s">
        <v>12</v>
      </c>
      <c r="D17" s="48" t="s">
        <v>13</v>
      </c>
      <c r="E17" s="48" t="s">
        <v>14</v>
      </c>
      <c r="F17" s="48" t="s">
        <v>15</v>
      </c>
      <c r="G17" s="49" t="s">
        <v>16</v>
      </c>
      <c r="H17" s="48" t="s">
        <v>17</v>
      </c>
      <c r="I17" s="50" t="s">
        <v>18</v>
      </c>
      <c r="J17" s="51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52"/>
      <c r="B18" s="53" t="s">
        <v>19</v>
      </c>
      <c r="C18" s="54" t="s">
        <v>20</v>
      </c>
      <c r="D18" s="55">
        <v>1.0</v>
      </c>
      <c r="E18" s="56" t="s">
        <v>21</v>
      </c>
      <c r="F18" s="57">
        <v>26.5</v>
      </c>
      <c r="G18" s="58">
        <f t="shared" ref="G18:G20" si="1">D18*F18</f>
        <v>26.5</v>
      </c>
      <c r="H18" s="59">
        <f t="shared" ref="H18:H20" si="2">G18+(G18*10/100)</f>
        <v>29.15</v>
      </c>
      <c r="I18" s="60">
        <v>0.1</v>
      </c>
      <c r="J18" s="51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61"/>
      <c r="B19" s="62"/>
      <c r="C19" s="54" t="s">
        <v>22</v>
      </c>
      <c r="D19" s="55">
        <v>1.0</v>
      </c>
      <c r="E19" s="56" t="s">
        <v>23</v>
      </c>
      <c r="F19" s="57">
        <v>212.0</v>
      </c>
      <c r="G19" s="58">
        <f t="shared" si="1"/>
        <v>212</v>
      </c>
      <c r="H19" s="59">
        <f t="shared" si="2"/>
        <v>233.2</v>
      </c>
      <c r="I19" s="60">
        <v>0.1</v>
      </c>
      <c r="J19" s="51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61"/>
      <c r="B20" s="63"/>
      <c r="C20" s="54" t="s">
        <v>24</v>
      </c>
      <c r="D20" s="55">
        <v>1.0</v>
      </c>
      <c r="E20" s="56" t="s">
        <v>23</v>
      </c>
      <c r="F20" s="57">
        <v>307.0</v>
      </c>
      <c r="G20" s="58">
        <f t="shared" si="1"/>
        <v>307</v>
      </c>
      <c r="H20" s="59">
        <f t="shared" si="2"/>
        <v>337.7</v>
      </c>
      <c r="I20" s="60">
        <v>0.1</v>
      </c>
      <c r="J20" s="51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64"/>
      <c r="B21" s="65" t="s">
        <v>25</v>
      </c>
      <c r="C21" s="66"/>
      <c r="D21" s="66"/>
      <c r="E21" s="66"/>
      <c r="F21" s="67"/>
      <c r="G21" s="68">
        <f t="shared" ref="G21:H21" si="3">SUM(G18:G20)</f>
        <v>545.5</v>
      </c>
      <c r="H21" s="69">
        <f t="shared" si="3"/>
        <v>600.05</v>
      </c>
      <c r="I21" s="70"/>
      <c r="J21" s="51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71"/>
      <c r="B22" s="72"/>
      <c r="C22" s="72"/>
      <c r="D22" s="72"/>
      <c r="E22" s="72"/>
      <c r="F22" s="72"/>
      <c r="G22" s="73"/>
      <c r="H22" s="73"/>
      <c r="I22" s="74"/>
      <c r="J22" s="7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4.25" customHeight="1">
      <c r="A23" s="46"/>
      <c r="B23" s="47" t="s">
        <v>11</v>
      </c>
      <c r="C23" s="48" t="s">
        <v>12</v>
      </c>
      <c r="D23" s="48" t="s">
        <v>13</v>
      </c>
      <c r="E23" s="48" t="s">
        <v>14</v>
      </c>
      <c r="F23" s="48" t="s">
        <v>15</v>
      </c>
      <c r="G23" s="49" t="s">
        <v>16</v>
      </c>
      <c r="H23" s="48" t="s">
        <v>17</v>
      </c>
      <c r="I23" s="50" t="s">
        <v>18</v>
      </c>
      <c r="J23" s="51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52"/>
      <c r="B24" s="53" t="s">
        <v>26</v>
      </c>
      <c r="C24" s="54" t="s">
        <v>27</v>
      </c>
      <c r="D24" s="76">
        <v>1.0</v>
      </c>
      <c r="E24" s="56" t="s">
        <v>14</v>
      </c>
      <c r="F24" s="57">
        <v>635.0</v>
      </c>
      <c r="G24" s="58">
        <f t="shared" ref="G24:G26" si="4">D24*F24</f>
        <v>635</v>
      </c>
      <c r="H24" s="59">
        <f t="shared" ref="H24:H26" si="5">G24+(G24*10/100)</f>
        <v>698.5</v>
      </c>
      <c r="I24" s="60">
        <v>0.1</v>
      </c>
      <c r="J24" s="51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61"/>
      <c r="B25" s="62"/>
      <c r="C25" s="54" t="s">
        <v>28</v>
      </c>
      <c r="D25" s="76">
        <v>1.0</v>
      </c>
      <c r="E25" s="56" t="s">
        <v>14</v>
      </c>
      <c r="F25" s="57">
        <v>1061.0</v>
      </c>
      <c r="G25" s="58">
        <f t="shared" si="4"/>
        <v>1061</v>
      </c>
      <c r="H25" s="59">
        <f t="shared" si="5"/>
        <v>1167.1</v>
      </c>
      <c r="I25" s="60">
        <v>0.1</v>
      </c>
      <c r="J25" s="51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61"/>
      <c r="B26" s="63"/>
      <c r="C26" s="54" t="s">
        <v>29</v>
      </c>
      <c r="D26" s="76">
        <v>1.0</v>
      </c>
      <c r="E26" s="56" t="s">
        <v>30</v>
      </c>
      <c r="F26" s="57">
        <v>52.0</v>
      </c>
      <c r="G26" s="58">
        <f t="shared" si="4"/>
        <v>52</v>
      </c>
      <c r="H26" s="59">
        <f t="shared" si="5"/>
        <v>57.2</v>
      </c>
      <c r="I26" s="60">
        <v>0.1</v>
      </c>
      <c r="J26" s="51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64"/>
      <c r="B27" s="65" t="s">
        <v>31</v>
      </c>
      <c r="C27" s="66"/>
      <c r="D27" s="66"/>
      <c r="E27" s="66"/>
      <c r="F27" s="67"/>
      <c r="G27" s="68">
        <f t="shared" ref="G27:H27" si="6">SUM(G24:G26)</f>
        <v>1748</v>
      </c>
      <c r="H27" s="69">
        <f t="shared" si="6"/>
        <v>1922.8</v>
      </c>
      <c r="I27" s="77"/>
      <c r="J27" s="51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71"/>
      <c r="B28" s="72"/>
      <c r="C28" s="72"/>
      <c r="D28" s="72"/>
      <c r="E28" s="72"/>
      <c r="F28" s="72"/>
      <c r="G28" s="73"/>
      <c r="H28" s="73"/>
      <c r="I28" s="74"/>
      <c r="J28" s="7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4.25" customHeight="1">
      <c r="A29" s="46"/>
      <c r="B29" s="47" t="s">
        <v>11</v>
      </c>
      <c r="C29" s="48" t="s">
        <v>12</v>
      </c>
      <c r="D29" s="48" t="s">
        <v>13</v>
      </c>
      <c r="E29" s="48" t="s">
        <v>14</v>
      </c>
      <c r="F29" s="48" t="s">
        <v>15</v>
      </c>
      <c r="G29" s="49" t="s">
        <v>16</v>
      </c>
      <c r="H29" s="48" t="s">
        <v>17</v>
      </c>
      <c r="I29" s="50" t="s">
        <v>18</v>
      </c>
      <c r="J29" s="51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52"/>
      <c r="B30" s="78" t="s">
        <v>32</v>
      </c>
      <c r="C30" s="54" t="s">
        <v>33</v>
      </c>
      <c r="D30" s="76">
        <v>1.0</v>
      </c>
      <c r="E30" s="56" t="s">
        <v>30</v>
      </c>
      <c r="F30" s="57">
        <v>31.8</v>
      </c>
      <c r="G30" s="58">
        <f t="shared" ref="G30:G35" si="7">D30*F30</f>
        <v>31.8</v>
      </c>
      <c r="H30" s="59">
        <f t="shared" ref="H30:H35" si="8">G30+(G30*10/100)</f>
        <v>34.98</v>
      </c>
      <c r="I30" s="60">
        <v>0.1</v>
      </c>
      <c r="J30" s="51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61"/>
      <c r="B31" s="62"/>
      <c r="C31" s="54" t="s">
        <v>34</v>
      </c>
      <c r="D31" s="76">
        <v>1.0</v>
      </c>
      <c r="E31" s="56" t="s">
        <v>30</v>
      </c>
      <c r="F31" s="57">
        <v>37.0</v>
      </c>
      <c r="G31" s="58">
        <f t="shared" si="7"/>
        <v>37</v>
      </c>
      <c r="H31" s="59">
        <f t="shared" si="8"/>
        <v>40.7</v>
      </c>
      <c r="I31" s="60">
        <v>0.1</v>
      </c>
      <c r="J31" s="51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61"/>
      <c r="B32" s="62"/>
      <c r="C32" s="54" t="s">
        <v>35</v>
      </c>
      <c r="D32" s="76">
        <v>1.0</v>
      </c>
      <c r="E32" s="56" t="s">
        <v>30</v>
      </c>
      <c r="F32" s="57">
        <v>74.2</v>
      </c>
      <c r="G32" s="58">
        <f t="shared" si="7"/>
        <v>74.2</v>
      </c>
      <c r="H32" s="59">
        <f t="shared" si="8"/>
        <v>81.62</v>
      </c>
      <c r="I32" s="60">
        <v>0.1</v>
      </c>
      <c r="J32" s="51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61"/>
      <c r="B33" s="62"/>
      <c r="C33" s="54" t="s">
        <v>36</v>
      </c>
      <c r="D33" s="76">
        <v>1.0</v>
      </c>
      <c r="E33" s="56" t="s">
        <v>30</v>
      </c>
      <c r="F33" s="57">
        <v>42.5</v>
      </c>
      <c r="G33" s="58">
        <f t="shared" si="7"/>
        <v>42.5</v>
      </c>
      <c r="H33" s="59">
        <f t="shared" si="8"/>
        <v>46.75</v>
      </c>
      <c r="I33" s="60">
        <v>0.1</v>
      </c>
      <c r="J33" s="51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61"/>
      <c r="B34" s="62"/>
      <c r="C34" s="54" t="s">
        <v>37</v>
      </c>
      <c r="D34" s="76">
        <v>1.0</v>
      </c>
      <c r="E34" s="56" t="s">
        <v>30</v>
      </c>
      <c r="F34" s="57">
        <v>31.8</v>
      </c>
      <c r="G34" s="58">
        <f t="shared" si="7"/>
        <v>31.8</v>
      </c>
      <c r="H34" s="59">
        <f t="shared" si="8"/>
        <v>34.98</v>
      </c>
      <c r="I34" s="60">
        <v>0.1</v>
      </c>
      <c r="J34" s="51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61"/>
      <c r="B35" s="63"/>
      <c r="C35" s="54" t="s">
        <v>38</v>
      </c>
      <c r="D35" s="76">
        <v>1.0</v>
      </c>
      <c r="E35" s="56" t="s">
        <v>30</v>
      </c>
      <c r="F35" s="57">
        <v>37.0</v>
      </c>
      <c r="G35" s="58">
        <f t="shared" si="7"/>
        <v>37</v>
      </c>
      <c r="H35" s="59">
        <f t="shared" si="8"/>
        <v>40.7</v>
      </c>
      <c r="I35" s="60">
        <v>0.1</v>
      </c>
      <c r="J35" s="51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64"/>
      <c r="B36" s="65" t="s">
        <v>39</v>
      </c>
      <c r="C36" s="66"/>
      <c r="D36" s="66"/>
      <c r="E36" s="66"/>
      <c r="F36" s="67"/>
      <c r="G36" s="68">
        <f t="shared" ref="G36:H36" si="9">SUM(G30:G35)</f>
        <v>254.3</v>
      </c>
      <c r="H36" s="69">
        <f t="shared" si="9"/>
        <v>279.73</v>
      </c>
      <c r="I36" s="70"/>
      <c r="J36" s="51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71"/>
      <c r="B37" s="72"/>
      <c r="C37" s="72"/>
      <c r="D37" s="72"/>
      <c r="E37" s="72"/>
      <c r="F37" s="72"/>
      <c r="G37" s="73"/>
      <c r="H37" s="73"/>
      <c r="I37" s="74"/>
      <c r="J37" s="7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46"/>
      <c r="B38" s="47" t="s">
        <v>11</v>
      </c>
      <c r="C38" s="48" t="s">
        <v>12</v>
      </c>
      <c r="D38" s="48" t="s">
        <v>13</v>
      </c>
      <c r="E38" s="48" t="s">
        <v>14</v>
      </c>
      <c r="F38" s="48" t="s">
        <v>15</v>
      </c>
      <c r="G38" s="49" t="s">
        <v>16</v>
      </c>
      <c r="H38" s="48" t="s">
        <v>17</v>
      </c>
      <c r="I38" s="50" t="s">
        <v>18</v>
      </c>
      <c r="J38" s="51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2"/>
      <c r="B39" s="53" t="s">
        <v>40</v>
      </c>
      <c r="C39" s="54" t="s">
        <v>41</v>
      </c>
      <c r="D39" s="76">
        <v>2.0</v>
      </c>
      <c r="E39" s="56" t="s">
        <v>14</v>
      </c>
      <c r="F39" s="57">
        <v>318.4</v>
      </c>
      <c r="G39" s="59">
        <f t="shared" ref="G39:G62" si="10">D39*F39</f>
        <v>636.8</v>
      </c>
      <c r="H39" s="59">
        <f t="shared" ref="H39:H62" si="11">G39+(G39*10/100)</f>
        <v>700.48</v>
      </c>
      <c r="I39" s="60">
        <v>0.1</v>
      </c>
      <c r="J39" s="51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61"/>
      <c r="B40" s="62"/>
      <c r="C40" s="54" t="s">
        <v>42</v>
      </c>
      <c r="D40" s="76">
        <v>1.0</v>
      </c>
      <c r="E40" s="56" t="s">
        <v>14</v>
      </c>
      <c r="F40" s="57">
        <v>424.0</v>
      </c>
      <c r="G40" s="59">
        <f t="shared" si="10"/>
        <v>424</v>
      </c>
      <c r="H40" s="59">
        <f t="shared" si="11"/>
        <v>466.4</v>
      </c>
      <c r="I40" s="60">
        <v>0.1</v>
      </c>
      <c r="J40" s="51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61"/>
      <c r="B41" s="62"/>
      <c r="C41" s="54" t="s">
        <v>43</v>
      </c>
      <c r="D41" s="76">
        <v>1.0</v>
      </c>
      <c r="E41" s="56" t="s">
        <v>14</v>
      </c>
      <c r="F41" s="57">
        <v>2659.0</v>
      </c>
      <c r="G41" s="59">
        <f t="shared" si="10"/>
        <v>2659</v>
      </c>
      <c r="H41" s="59">
        <f t="shared" si="11"/>
        <v>2924.9</v>
      </c>
      <c r="I41" s="60">
        <v>0.1</v>
      </c>
      <c r="J41" s="51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61"/>
      <c r="B42" s="62"/>
      <c r="C42" s="54" t="s">
        <v>44</v>
      </c>
      <c r="D42" s="76">
        <v>1.0</v>
      </c>
      <c r="E42" s="56" t="s">
        <v>14</v>
      </c>
      <c r="F42" s="57">
        <v>1378.0</v>
      </c>
      <c r="G42" s="59">
        <f t="shared" si="10"/>
        <v>1378</v>
      </c>
      <c r="H42" s="59">
        <f t="shared" si="11"/>
        <v>1515.8</v>
      </c>
      <c r="I42" s="60">
        <v>0.1</v>
      </c>
      <c r="J42" s="51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61"/>
      <c r="B43" s="62"/>
      <c r="C43" s="54" t="s">
        <v>45</v>
      </c>
      <c r="D43" s="76">
        <v>1.0</v>
      </c>
      <c r="E43" s="56" t="s">
        <v>14</v>
      </c>
      <c r="F43" s="57">
        <v>530.0</v>
      </c>
      <c r="G43" s="58">
        <f t="shared" si="10"/>
        <v>530</v>
      </c>
      <c r="H43" s="59">
        <f t="shared" si="11"/>
        <v>583</v>
      </c>
      <c r="I43" s="60">
        <v>0.1</v>
      </c>
      <c r="J43" s="51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61"/>
      <c r="B44" s="62"/>
      <c r="C44" s="54" t="s">
        <v>46</v>
      </c>
      <c r="D44" s="76">
        <v>1.0</v>
      </c>
      <c r="E44" s="56" t="s">
        <v>14</v>
      </c>
      <c r="F44" s="57">
        <v>635.0</v>
      </c>
      <c r="G44" s="58">
        <f t="shared" si="10"/>
        <v>635</v>
      </c>
      <c r="H44" s="59">
        <f t="shared" si="11"/>
        <v>698.5</v>
      </c>
      <c r="I44" s="60">
        <v>0.1</v>
      </c>
      <c r="J44" s="51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46"/>
      <c r="B45" s="62"/>
      <c r="C45" s="54" t="s">
        <v>47</v>
      </c>
      <c r="D45" s="76">
        <v>1.0</v>
      </c>
      <c r="E45" s="56" t="s">
        <v>14</v>
      </c>
      <c r="F45" s="57">
        <v>741.0</v>
      </c>
      <c r="G45" s="59">
        <f t="shared" si="10"/>
        <v>741</v>
      </c>
      <c r="H45" s="59">
        <f t="shared" si="11"/>
        <v>815.1</v>
      </c>
      <c r="I45" s="60">
        <v>0.1</v>
      </c>
      <c r="J45" s="51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46"/>
      <c r="B46" s="62"/>
      <c r="C46" s="54" t="s">
        <v>48</v>
      </c>
      <c r="D46" s="76">
        <v>1.0</v>
      </c>
      <c r="E46" s="56" t="s">
        <v>14</v>
      </c>
      <c r="F46" s="57">
        <v>264.0</v>
      </c>
      <c r="G46" s="59">
        <f t="shared" si="10"/>
        <v>264</v>
      </c>
      <c r="H46" s="59">
        <f t="shared" si="11"/>
        <v>290.4</v>
      </c>
      <c r="I46" s="60">
        <v>0.1</v>
      </c>
      <c r="J46" s="51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46"/>
      <c r="B47" s="62"/>
      <c r="C47" s="54" t="s">
        <v>49</v>
      </c>
      <c r="D47" s="76">
        <v>1.0</v>
      </c>
      <c r="E47" s="56" t="s">
        <v>14</v>
      </c>
      <c r="F47" s="57">
        <v>212.0</v>
      </c>
      <c r="G47" s="59">
        <f t="shared" si="10"/>
        <v>212</v>
      </c>
      <c r="H47" s="59">
        <f t="shared" si="11"/>
        <v>233.2</v>
      </c>
      <c r="I47" s="60">
        <v>0.1</v>
      </c>
      <c r="J47" s="51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46"/>
      <c r="B48" s="62"/>
      <c r="C48" s="54" t="s">
        <v>50</v>
      </c>
      <c r="D48" s="76">
        <v>1.0</v>
      </c>
      <c r="E48" s="56" t="s">
        <v>14</v>
      </c>
      <c r="F48" s="57">
        <v>264.0</v>
      </c>
      <c r="G48" s="59">
        <f t="shared" si="10"/>
        <v>264</v>
      </c>
      <c r="H48" s="59">
        <f t="shared" si="11"/>
        <v>290.4</v>
      </c>
      <c r="I48" s="60">
        <v>0.1</v>
      </c>
      <c r="J48" s="51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4.25" customHeight="1">
      <c r="A49" s="46"/>
      <c r="B49" s="62"/>
      <c r="C49" s="54" t="s">
        <v>51</v>
      </c>
      <c r="D49" s="76">
        <v>1.0</v>
      </c>
      <c r="E49" s="56" t="s">
        <v>14</v>
      </c>
      <c r="F49" s="57">
        <v>212.0</v>
      </c>
      <c r="G49" s="59">
        <f t="shared" si="10"/>
        <v>212</v>
      </c>
      <c r="H49" s="59">
        <f t="shared" si="11"/>
        <v>233.2</v>
      </c>
      <c r="I49" s="60">
        <v>0.1</v>
      </c>
      <c r="J49" s="51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46"/>
      <c r="B50" s="62"/>
      <c r="C50" s="54" t="s">
        <v>52</v>
      </c>
      <c r="D50" s="76">
        <v>1.0</v>
      </c>
      <c r="E50" s="56" t="s">
        <v>14</v>
      </c>
      <c r="F50" s="57">
        <v>212.0</v>
      </c>
      <c r="G50" s="59">
        <f t="shared" si="10"/>
        <v>212</v>
      </c>
      <c r="H50" s="59">
        <f t="shared" si="11"/>
        <v>233.2</v>
      </c>
      <c r="I50" s="60">
        <v>0.1</v>
      </c>
      <c r="J50" s="51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46"/>
      <c r="B51" s="62"/>
      <c r="C51" s="54" t="s">
        <v>53</v>
      </c>
      <c r="D51" s="76">
        <v>1.0</v>
      </c>
      <c r="E51" s="56" t="s">
        <v>14</v>
      </c>
      <c r="F51" s="57">
        <v>212.0</v>
      </c>
      <c r="G51" s="59">
        <f t="shared" si="10"/>
        <v>212</v>
      </c>
      <c r="H51" s="59">
        <f t="shared" si="11"/>
        <v>233.2</v>
      </c>
      <c r="I51" s="60">
        <v>0.1</v>
      </c>
      <c r="J51" s="51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46"/>
      <c r="B52" s="62"/>
      <c r="C52" s="54" t="s">
        <v>54</v>
      </c>
      <c r="D52" s="76">
        <v>1.0</v>
      </c>
      <c r="E52" s="56" t="s">
        <v>14</v>
      </c>
      <c r="F52" s="57">
        <v>212.0</v>
      </c>
      <c r="G52" s="59">
        <f t="shared" si="10"/>
        <v>212</v>
      </c>
      <c r="H52" s="59">
        <f t="shared" si="11"/>
        <v>233.2</v>
      </c>
      <c r="I52" s="60">
        <v>0.1</v>
      </c>
      <c r="J52" s="51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46"/>
      <c r="B53" s="62"/>
      <c r="C53" s="54" t="s">
        <v>55</v>
      </c>
      <c r="D53" s="76">
        <v>1.0</v>
      </c>
      <c r="E53" s="56" t="s">
        <v>14</v>
      </c>
      <c r="F53" s="57">
        <v>212.0</v>
      </c>
      <c r="G53" s="59">
        <f t="shared" si="10"/>
        <v>212</v>
      </c>
      <c r="H53" s="59">
        <f t="shared" si="11"/>
        <v>233.2</v>
      </c>
      <c r="I53" s="60">
        <v>0.1</v>
      </c>
      <c r="J53" s="51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46"/>
      <c r="B54" s="62"/>
      <c r="C54" s="54" t="s">
        <v>56</v>
      </c>
      <c r="D54" s="76">
        <v>1.0</v>
      </c>
      <c r="E54" s="56" t="s">
        <v>14</v>
      </c>
      <c r="F54" s="57">
        <v>212.0</v>
      </c>
      <c r="G54" s="59">
        <f t="shared" si="10"/>
        <v>212</v>
      </c>
      <c r="H54" s="59">
        <f t="shared" si="11"/>
        <v>233.2</v>
      </c>
      <c r="I54" s="60">
        <v>0.1</v>
      </c>
      <c r="J54" s="51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46"/>
      <c r="B55" s="62"/>
      <c r="C55" s="54" t="s">
        <v>57</v>
      </c>
      <c r="D55" s="76">
        <v>1.0</v>
      </c>
      <c r="E55" s="56" t="s">
        <v>14</v>
      </c>
      <c r="F55" s="57">
        <v>530.0</v>
      </c>
      <c r="G55" s="59">
        <f t="shared" si="10"/>
        <v>530</v>
      </c>
      <c r="H55" s="59">
        <f t="shared" si="11"/>
        <v>583</v>
      </c>
      <c r="I55" s="60">
        <v>0.1</v>
      </c>
      <c r="J55" s="51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46"/>
      <c r="B56" s="62"/>
      <c r="C56" s="54" t="s">
        <v>58</v>
      </c>
      <c r="D56" s="76">
        <v>1.0</v>
      </c>
      <c r="E56" s="56" t="s">
        <v>14</v>
      </c>
      <c r="F56" s="57">
        <v>530.0</v>
      </c>
      <c r="G56" s="59">
        <f t="shared" si="10"/>
        <v>530</v>
      </c>
      <c r="H56" s="59">
        <f t="shared" si="11"/>
        <v>583</v>
      </c>
      <c r="I56" s="60">
        <v>0.1</v>
      </c>
      <c r="J56" s="51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46"/>
      <c r="B57" s="62"/>
      <c r="C57" s="54" t="s">
        <v>59</v>
      </c>
      <c r="D57" s="76">
        <v>1.0</v>
      </c>
      <c r="E57" s="56" t="s">
        <v>14</v>
      </c>
      <c r="F57" s="57">
        <v>53.0</v>
      </c>
      <c r="G57" s="59">
        <f t="shared" si="10"/>
        <v>53</v>
      </c>
      <c r="H57" s="59">
        <f t="shared" si="11"/>
        <v>58.3</v>
      </c>
      <c r="I57" s="60">
        <v>0.1</v>
      </c>
      <c r="J57" s="51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46"/>
      <c r="B58" s="62"/>
      <c r="C58" s="54" t="s">
        <v>60</v>
      </c>
      <c r="D58" s="76">
        <v>1.0</v>
      </c>
      <c r="E58" s="56" t="s">
        <v>14</v>
      </c>
      <c r="F58" s="57">
        <v>212.0</v>
      </c>
      <c r="G58" s="59">
        <f t="shared" si="10"/>
        <v>212</v>
      </c>
      <c r="H58" s="59">
        <f t="shared" si="11"/>
        <v>233.2</v>
      </c>
      <c r="I58" s="60">
        <v>0.1</v>
      </c>
      <c r="J58" s="51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46"/>
      <c r="B59" s="62"/>
      <c r="C59" s="54" t="s">
        <v>61</v>
      </c>
      <c r="D59" s="76">
        <v>1.0</v>
      </c>
      <c r="E59" s="56" t="s">
        <v>14</v>
      </c>
      <c r="F59" s="57">
        <v>106.0</v>
      </c>
      <c r="G59" s="59">
        <f t="shared" si="10"/>
        <v>106</v>
      </c>
      <c r="H59" s="59">
        <f t="shared" si="11"/>
        <v>116.6</v>
      </c>
      <c r="I59" s="60">
        <v>0.1</v>
      </c>
      <c r="J59" s="51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4.25" customHeight="1">
      <c r="A60" s="46"/>
      <c r="B60" s="62"/>
      <c r="C60" s="54" t="s">
        <v>62</v>
      </c>
      <c r="D60" s="76">
        <v>1.0</v>
      </c>
      <c r="E60" s="56" t="s">
        <v>14</v>
      </c>
      <c r="F60" s="57">
        <v>106.0</v>
      </c>
      <c r="G60" s="59">
        <f t="shared" si="10"/>
        <v>106</v>
      </c>
      <c r="H60" s="59">
        <f t="shared" si="11"/>
        <v>116.6</v>
      </c>
      <c r="I60" s="60">
        <v>0.1</v>
      </c>
      <c r="J60" s="51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4.25" customHeight="1">
      <c r="A61" s="46"/>
      <c r="B61" s="62"/>
      <c r="C61" s="54" t="s">
        <v>63</v>
      </c>
      <c r="D61" s="76">
        <v>1.0</v>
      </c>
      <c r="E61" s="56" t="s">
        <v>14</v>
      </c>
      <c r="F61" s="57">
        <v>53.0</v>
      </c>
      <c r="G61" s="59">
        <f t="shared" si="10"/>
        <v>53</v>
      </c>
      <c r="H61" s="59">
        <f t="shared" si="11"/>
        <v>58.3</v>
      </c>
      <c r="I61" s="60">
        <v>0.1</v>
      </c>
      <c r="J61" s="51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4.25" customHeight="1">
      <c r="A62" s="46"/>
      <c r="B62" s="63"/>
      <c r="C62" s="54" t="s">
        <v>64</v>
      </c>
      <c r="D62" s="76">
        <v>1.0</v>
      </c>
      <c r="E62" s="56" t="s">
        <v>14</v>
      </c>
      <c r="F62" s="57">
        <v>21.0</v>
      </c>
      <c r="G62" s="59">
        <f t="shared" si="10"/>
        <v>21</v>
      </c>
      <c r="H62" s="59">
        <f t="shared" si="11"/>
        <v>23.1</v>
      </c>
      <c r="I62" s="60">
        <v>0.1</v>
      </c>
      <c r="J62" s="51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4.25" customHeight="1">
      <c r="A63" s="64"/>
      <c r="B63" s="65" t="s">
        <v>65</v>
      </c>
      <c r="C63" s="66"/>
      <c r="D63" s="66"/>
      <c r="E63" s="66"/>
      <c r="F63" s="67"/>
      <c r="G63" s="68">
        <f t="shared" ref="G63:H63" si="12">SUM(G39:G62)</f>
        <v>10626.8</v>
      </c>
      <c r="H63" s="69">
        <f t="shared" si="12"/>
        <v>11689.48</v>
      </c>
      <c r="I63" s="70"/>
      <c r="J63" s="51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0" customHeight="1">
      <c r="A64" s="71"/>
      <c r="B64" s="72"/>
      <c r="C64" s="72"/>
      <c r="D64" s="72"/>
      <c r="E64" s="72"/>
      <c r="F64" s="72"/>
      <c r="G64" s="73"/>
      <c r="H64" s="73"/>
      <c r="I64" s="74"/>
      <c r="J64" s="7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4.25" customHeight="1">
      <c r="A65" s="46"/>
      <c r="B65" s="47" t="s">
        <v>11</v>
      </c>
      <c r="C65" s="48" t="s">
        <v>12</v>
      </c>
      <c r="D65" s="48" t="s">
        <v>13</v>
      </c>
      <c r="E65" s="48" t="s">
        <v>14</v>
      </c>
      <c r="F65" s="48" t="s">
        <v>15</v>
      </c>
      <c r="G65" s="49" t="s">
        <v>16</v>
      </c>
      <c r="H65" s="48" t="s">
        <v>17</v>
      </c>
      <c r="I65" s="50" t="s">
        <v>18</v>
      </c>
      <c r="J65" s="51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4.25" customHeight="1">
      <c r="A66" s="52"/>
      <c r="B66" s="53" t="s">
        <v>66</v>
      </c>
      <c r="C66" s="54" t="s">
        <v>67</v>
      </c>
      <c r="D66" s="76">
        <v>1.0</v>
      </c>
      <c r="E66" s="56" t="s">
        <v>14</v>
      </c>
      <c r="F66" s="57">
        <v>530.0</v>
      </c>
      <c r="G66" s="58">
        <f t="shared" ref="G66:G82" si="13">D66*F66</f>
        <v>530</v>
      </c>
      <c r="H66" s="59">
        <f t="shared" ref="H66:H82" si="14">G66+(G66*10/100)</f>
        <v>583</v>
      </c>
      <c r="I66" s="60">
        <v>0.1</v>
      </c>
      <c r="J66" s="51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4.25" customHeight="1">
      <c r="A67" s="61"/>
      <c r="B67" s="62"/>
      <c r="C67" s="54" t="s">
        <v>68</v>
      </c>
      <c r="D67" s="76">
        <v>1.0</v>
      </c>
      <c r="E67" s="56" t="s">
        <v>14</v>
      </c>
      <c r="F67" s="57">
        <v>742.0</v>
      </c>
      <c r="G67" s="58">
        <f t="shared" si="13"/>
        <v>742</v>
      </c>
      <c r="H67" s="59">
        <f t="shared" si="14"/>
        <v>816.2</v>
      </c>
      <c r="I67" s="60">
        <v>0.1</v>
      </c>
      <c r="J67" s="51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4.25" customHeight="1">
      <c r="A68" s="61"/>
      <c r="B68" s="62"/>
      <c r="C68" s="54" t="s">
        <v>69</v>
      </c>
      <c r="D68" s="76">
        <v>1.0</v>
      </c>
      <c r="E68" s="56" t="s">
        <v>14</v>
      </c>
      <c r="F68" s="57">
        <v>954.0</v>
      </c>
      <c r="G68" s="58">
        <f t="shared" si="13"/>
        <v>954</v>
      </c>
      <c r="H68" s="59">
        <f t="shared" si="14"/>
        <v>1049.4</v>
      </c>
      <c r="I68" s="60">
        <v>0.1</v>
      </c>
      <c r="J68" s="51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4.25" customHeight="1">
      <c r="A69" s="61"/>
      <c r="B69" s="62"/>
      <c r="C69" s="54" t="s">
        <v>70</v>
      </c>
      <c r="D69" s="76">
        <v>1.0</v>
      </c>
      <c r="E69" s="56" t="s">
        <v>14</v>
      </c>
      <c r="F69" s="57">
        <v>530.0</v>
      </c>
      <c r="G69" s="58">
        <f t="shared" si="13"/>
        <v>530</v>
      </c>
      <c r="H69" s="59">
        <f t="shared" si="14"/>
        <v>583</v>
      </c>
      <c r="I69" s="60">
        <v>0.1</v>
      </c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4.25" customHeight="1">
      <c r="A70" s="61"/>
      <c r="B70" s="62"/>
      <c r="C70" s="54" t="s">
        <v>71</v>
      </c>
      <c r="D70" s="76">
        <v>1.0</v>
      </c>
      <c r="E70" s="56" t="s">
        <v>14</v>
      </c>
      <c r="F70" s="57">
        <v>74.0</v>
      </c>
      <c r="G70" s="58">
        <f t="shared" si="13"/>
        <v>74</v>
      </c>
      <c r="H70" s="59">
        <f t="shared" si="14"/>
        <v>81.4</v>
      </c>
      <c r="I70" s="60">
        <v>0.1</v>
      </c>
      <c r="J70" s="51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4.25" customHeight="1">
      <c r="A71" s="61"/>
      <c r="B71" s="62"/>
      <c r="C71" s="54" t="s">
        <v>72</v>
      </c>
      <c r="D71" s="76">
        <v>1.0</v>
      </c>
      <c r="E71" s="56" t="s">
        <v>14</v>
      </c>
      <c r="F71" s="57">
        <v>116.0</v>
      </c>
      <c r="G71" s="58">
        <f t="shared" si="13"/>
        <v>116</v>
      </c>
      <c r="H71" s="59">
        <f t="shared" si="14"/>
        <v>127.6</v>
      </c>
      <c r="I71" s="60">
        <v>0.1</v>
      </c>
      <c r="J71" s="51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4.25" customHeight="1">
      <c r="A72" s="46"/>
      <c r="B72" s="62"/>
      <c r="C72" s="54" t="s">
        <v>73</v>
      </c>
      <c r="D72" s="76">
        <v>1.0</v>
      </c>
      <c r="E72" s="56" t="s">
        <v>14</v>
      </c>
      <c r="F72" s="57">
        <v>106.0</v>
      </c>
      <c r="G72" s="58">
        <f t="shared" si="13"/>
        <v>106</v>
      </c>
      <c r="H72" s="59">
        <f t="shared" si="14"/>
        <v>116.6</v>
      </c>
      <c r="I72" s="60">
        <v>0.1</v>
      </c>
      <c r="J72" s="51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4.25" customHeight="1">
      <c r="A73" s="46"/>
      <c r="B73" s="62"/>
      <c r="C73" s="54" t="s">
        <v>74</v>
      </c>
      <c r="D73" s="76">
        <v>1.0</v>
      </c>
      <c r="E73" s="56" t="s">
        <v>14</v>
      </c>
      <c r="F73" s="57">
        <v>106.0</v>
      </c>
      <c r="G73" s="58">
        <f t="shared" si="13"/>
        <v>106</v>
      </c>
      <c r="H73" s="59">
        <f t="shared" si="14"/>
        <v>116.6</v>
      </c>
      <c r="I73" s="60">
        <v>0.1</v>
      </c>
      <c r="J73" s="51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4.25" customHeight="1">
      <c r="A74" s="46"/>
      <c r="B74" s="62"/>
      <c r="C74" s="54" t="s">
        <v>75</v>
      </c>
      <c r="D74" s="76">
        <v>1.0</v>
      </c>
      <c r="E74" s="56" t="s">
        <v>14</v>
      </c>
      <c r="F74" s="57">
        <v>318.0</v>
      </c>
      <c r="G74" s="58">
        <f t="shared" si="13"/>
        <v>318</v>
      </c>
      <c r="H74" s="59">
        <f t="shared" si="14"/>
        <v>349.8</v>
      </c>
      <c r="I74" s="60">
        <v>0.1</v>
      </c>
      <c r="J74" s="51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4.25" customHeight="1">
      <c r="A75" s="46"/>
      <c r="B75" s="62"/>
      <c r="C75" s="54" t="s">
        <v>76</v>
      </c>
      <c r="D75" s="76">
        <v>1.0</v>
      </c>
      <c r="E75" s="56" t="s">
        <v>14</v>
      </c>
      <c r="F75" s="57">
        <v>424.0</v>
      </c>
      <c r="G75" s="58">
        <f t="shared" si="13"/>
        <v>424</v>
      </c>
      <c r="H75" s="59">
        <f t="shared" si="14"/>
        <v>466.4</v>
      </c>
      <c r="I75" s="60">
        <v>0.1</v>
      </c>
      <c r="J75" s="51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4.25" customHeight="1">
      <c r="A76" s="46"/>
      <c r="B76" s="62"/>
      <c r="C76" s="54" t="s">
        <v>77</v>
      </c>
      <c r="D76" s="76">
        <v>1.0</v>
      </c>
      <c r="E76" s="56" t="s">
        <v>14</v>
      </c>
      <c r="F76" s="57">
        <v>95.0</v>
      </c>
      <c r="G76" s="58">
        <f t="shared" si="13"/>
        <v>95</v>
      </c>
      <c r="H76" s="59">
        <f t="shared" si="14"/>
        <v>104.5</v>
      </c>
      <c r="I76" s="60">
        <v>0.1</v>
      </c>
      <c r="J76" s="51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4.25" customHeight="1">
      <c r="A77" s="46"/>
      <c r="B77" s="62"/>
      <c r="C77" s="54" t="s">
        <v>78</v>
      </c>
      <c r="D77" s="76">
        <v>1.0</v>
      </c>
      <c r="E77" s="56" t="s">
        <v>14</v>
      </c>
      <c r="F77" s="57">
        <v>106.0</v>
      </c>
      <c r="G77" s="58">
        <f t="shared" si="13"/>
        <v>106</v>
      </c>
      <c r="H77" s="59">
        <f t="shared" si="14"/>
        <v>116.6</v>
      </c>
      <c r="I77" s="60">
        <v>0.1</v>
      </c>
      <c r="J77" s="51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4.25" customHeight="1">
      <c r="A78" s="46"/>
      <c r="B78" s="62"/>
      <c r="C78" s="54" t="s">
        <v>79</v>
      </c>
      <c r="D78" s="76">
        <v>1.0</v>
      </c>
      <c r="E78" s="56" t="s">
        <v>14</v>
      </c>
      <c r="F78" s="57">
        <v>1061.0</v>
      </c>
      <c r="G78" s="58">
        <f t="shared" si="13"/>
        <v>1061</v>
      </c>
      <c r="H78" s="59">
        <f t="shared" si="14"/>
        <v>1167.1</v>
      </c>
      <c r="I78" s="60">
        <v>0.1</v>
      </c>
      <c r="J78" s="51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4.25" customHeight="1">
      <c r="A79" s="46"/>
      <c r="B79" s="62"/>
      <c r="C79" s="54" t="s">
        <v>80</v>
      </c>
      <c r="D79" s="76">
        <v>1.0</v>
      </c>
      <c r="E79" s="56" t="s">
        <v>14</v>
      </c>
      <c r="F79" s="57">
        <v>5307.0</v>
      </c>
      <c r="G79" s="58">
        <f t="shared" si="13"/>
        <v>5307</v>
      </c>
      <c r="H79" s="59">
        <f t="shared" si="14"/>
        <v>5837.7</v>
      </c>
      <c r="I79" s="60">
        <v>0.1</v>
      </c>
      <c r="J79" s="51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4.25" customHeight="1">
      <c r="A80" s="46"/>
      <c r="B80" s="62"/>
      <c r="C80" s="54" t="s">
        <v>81</v>
      </c>
      <c r="D80" s="76">
        <v>1.0</v>
      </c>
      <c r="E80" s="56" t="s">
        <v>14</v>
      </c>
      <c r="F80" s="57">
        <v>10614.0</v>
      </c>
      <c r="G80" s="58">
        <f t="shared" si="13"/>
        <v>10614</v>
      </c>
      <c r="H80" s="59">
        <f t="shared" si="14"/>
        <v>11675.4</v>
      </c>
      <c r="I80" s="60">
        <v>0.1</v>
      </c>
      <c r="J80" s="51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4.25" customHeight="1">
      <c r="A81" s="46"/>
      <c r="B81" s="62"/>
      <c r="C81" s="54" t="s">
        <v>82</v>
      </c>
      <c r="D81" s="76">
        <v>1.0</v>
      </c>
      <c r="E81" s="56" t="s">
        <v>14</v>
      </c>
      <c r="F81" s="57">
        <v>15921.0</v>
      </c>
      <c r="G81" s="58">
        <f t="shared" si="13"/>
        <v>15921</v>
      </c>
      <c r="H81" s="59">
        <f t="shared" si="14"/>
        <v>17513.1</v>
      </c>
      <c r="I81" s="60">
        <v>0.1</v>
      </c>
      <c r="J81" s="51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4.25" customHeight="1">
      <c r="A82" s="46"/>
      <c r="B82" s="63"/>
      <c r="C82" s="54" t="s">
        <v>83</v>
      </c>
      <c r="D82" s="76">
        <v>1.0</v>
      </c>
      <c r="E82" s="56" t="s">
        <v>14</v>
      </c>
      <c r="F82" s="57">
        <v>21228.0</v>
      </c>
      <c r="G82" s="58">
        <f t="shared" si="13"/>
        <v>21228</v>
      </c>
      <c r="H82" s="59">
        <f t="shared" si="14"/>
        <v>23350.8</v>
      </c>
      <c r="I82" s="60">
        <v>0.1</v>
      </c>
      <c r="J82" s="51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4.25" customHeight="1">
      <c r="A83" s="64"/>
      <c r="B83" s="65" t="s">
        <v>84</v>
      </c>
      <c r="C83" s="66"/>
      <c r="D83" s="66"/>
      <c r="E83" s="66"/>
      <c r="F83" s="67"/>
      <c r="G83" s="68">
        <f t="shared" ref="G83:H83" si="15">SUM(G66:G82)</f>
        <v>58232</v>
      </c>
      <c r="H83" s="69">
        <f t="shared" si="15"/>
        <v>64055.2</v>
      </c>
      <c r="I83" s="70"/>
      <c r="J83" s="51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0" customHeight="1">
      <c r="A84" s="71"/>
      <c r="B84" s="72"/>
      <c r="C84" s="72"/>
      <c r="D84" s="72"/>
      <c r="E84" s="72"/>
      <c r="F84" s="72"/>
      <c r="G84" s="73"/>
      <c r="H84" s="73"/>
      <c r="I84" s="74"/>
      <c r="J84" s="7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0" customHeight="1">
      <c r="A85" s="46"/>
      <c r="B85" s="47" t="s">
        <v>11</v>
      </c>
      <c r="C85" s="48" t="s">
        <v>12</v>
      </c>
      <c r="D85" s="48" t="s">
        <v>13</v>
      </c>
      <c r="E85" s="48" t="s">
        <v>14</v>
      </c>
      <c r="F85" s="48" t="s">
        <v>15</v>
      </c>
      <c r="G85" s="49" t="s">
        <v>16</v>
      </c>
      <c r="H85" s="48" t="s">
        <v>17</v>
      </c>
      <c r="I85" s="50" t="s">
        <v>18</v>
      </c>
      <c r="J85" s="51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0" customHeight="1">
      <c r="A86" s="52"/>
      <c r="B86" s="53" t="s">
        <v>85</v>
      </c>
      <c r="C86" s="54" t="s">
        <v>86</v>
      </c>
      <c r="D86" s="76">
        <v>1.0</v>
      </c>
      <c r="E86" s="56" t="s">
        <v>30</v>
      </c>
      <c r="F86" s="57">
        <v>85.0</v>
      </c>
      <c r="G86" s="58">
        <f t="shared" ref="G86:G96" si="16">D86*F86</f>
        <v>85</v>
      </c>
      <c r="H86" s="59">
        <f t="shared" ref="H86:H96" si="17">G86+(G86*10/100)</f>
        <v>93.5</v>
      </c>
      <c r="I86" s="60">
        <v>0.1</v>
      </c>
      <c r="J86" s="51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0" customHeight="1">
      <c r="A87" s="61"/>
      <c r="B87" s="62"/>
      <c r="C87" s="54" t="s">
        <v>87</v>
      </c>
      <c r="D87" s="76">
        <v>1.0</v>
      </c>
      <c r="E87" s="56" t="s">
        <v>30</v>
      </c>
      <c r="F87" s="57">
        <v>85.0</v>
      </c>
      <c r="G87" s="58">
        <f t="shared" si="16"/>
        <v>85</v>
      </c>
      <c r="H87" s="59">
        <f t="shared" si="17"/>
        <v>93.5</v>
      </c>
      <c r="I87" s="60">
        <v>0.1</v>
      </c>
      <c r="J87" s="51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0" customHeight="1">
      <c r="A88" s="61"/>
      <c r="B88" s="62"/>
      <c r="C88" s="54" t="s">
        <v>88</v>
      </c>
      <c r="D88" s="76">
        <v>1.0</v>
      </c>
      <c r="E88" s="56" t="s">
        <v>14</v>
      </c>
      <c r="F88" s="57">
        <v>158.0</v>
      </c>
      <c r="G88" s="58">
        <f t="shared" si="16"/>
        <v>158</v>
      </c>
      <c r="H88" s="59">
        <f t="shared" si="17"/>
        <v>173.8</v>
      </c>
      <c r="I88" s="60">
        <v>0.1</v>
      </c>
      <c r="J88" s="51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0" customHeight="1">
      <c r="A89" s="61"/>
      <c r="B89" s="62"/>
      <c r="C89" s="54" t="s">
        <v>89</v>
      </c>
      <c r="D89" s="76">
        <v>1.0</v>
      </c>
      <c r="E89" s="56" t="s">
        <v>14</v>
      </c>
      <c r="F89" s="57">
        <v>2120.0</v>
      </c>
      <c r="G89" s="58">
        <f t="shared" si="16"/>
        <v>2120</v>
      </c>
      <c r="H89" s="59">
        <f t="shared" si="17"/>
        <v>2332</v>
      </c>
      <c r="I89" s="60">
        <v>0.1</v>
      </c>
      <c r="J89" s="51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0" customHeight="1">
      <c r="A90" s="61"/>
      <c r="B90" s="62"/>
      <c r="C90" s="54" t="s">
        <v>90</v>
      </c>
      <c r="D90" s="76">
        <v>1.0</v>
      </c>
      <c r="E90" s="56" t="s">
        <v>14</v>
      </c>
      <c r="F90" s="57">
        <v>106.0</v>
      </c>
      <c r="G90" s="58">
        <f t="shared" si="16"/>
        <v>106</v>
      </c>
      <c r="H90" s="59">
        <f t="shared" si="17"/>
        <v>116.6</v>
      </c>
      <c r="I90" s="60">
        <v>0.1</v>
      </c>
      <c r="J90" s="51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0" customHeight="1">
      <c r="A91" s="61"/>
      <c r="B91" s="62"/>
      <c r="C91" s="54" t="s">
        <v>91</v>
      </c>
      <c r="D91" s="76">
        <v>1.0</v>
      </c>
      <c r="E91" s="56" t="s">
        <v>14</v>
      </c>
      <c r="F91" s="57">
        <v>212.0</v>
      </c>
      <c r="G91" s="58">
        <f t="shared" si="16"/>
        <v>212</v>
      </c>
      <c r="H91" s="59">
        <f t="shared" si="17"/>
        <v>233.2</v>
      </c>
      <c r="I91" s="60">
        <v>0.1</v>
      </c>
      <c r="J91" s="51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0" customHeight="1">
      <c r="A92" s="61"/>
      <c r="B92" s="62"/>
      <c r="C92" s="54" t="s">
        <v>92</v>
      </c>
      <c r="D92" s="76">
        <v>1.0</v>
      </c>
      <c r="E92" s="56" t="s">
        <v>14</v>
      </c>
      <c r="F92" s="57">
        <v>212.0</v>
      </c>
      <c r="G92" s="58">
        <f t="shared" si="16"/>
        <v>212</v>
      </c>
      <c r="H92" s="59">
        <f t="shared" si="17"/>
        <v>233.2</v>
      </c>
      <c r="I92" s="60">
        <v>0.1</v>
      </c>
      <c r="J92" s="51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0" customHeight="1">
      <c r="A93" s="61"/>
      <c r="B93" s="62"/>
      <c r="C93" s="54" t="s">
        <v>93</v>
      </c>
      <c r="D93" s="76">
        <v>1.0</v>
      </c>
      <c r="E93" s="56" t="s">
        <v>14</v>
      </c>
      <c r="F93" s="57">
        <v>21.0</v>
      </c>
      <c r="G93" s="58">
        <f t="shared" si="16"/>
        <v>21</v>
      </c>
      <c r="H93" s="59">
        <f t="shared" si="17"/>
        <v>23.1</v>
      </c>
      <c r="I93" s="60">
        <v>0.1</v>
      </c>
      <c r="J93" s="51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0" customHeight="1">
      <c r="A94" s="46"/>
      <c r="B94" s="62"/>
      <c r="C94" s="54" t="s">
        <v>94</v>
      </c>
      <c r="D94" s="76">
        <v>1.0</v>
      </c>
      <c r="E94" s="56" t="s">
        <v>14</v>
      </c>
      <c r="F94" s="57">
        <v>21.0</v>
      </c>
      <c r="G94" s="58">
        <f t="shared" si="16"/>
        <v>21</v>
      </c>
      <c r="H94" s="59">
        <f t="shared" si="17"/>
        <v>23.1</v>
      </c>
      <c r="I94" s="60">
        <v>0.1</v>
      </c>
      <c r="J94" s="51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0" customHeight="1">
      <c r="A95" s="46"/>
      <c r="B95" s="62"/>
      <c r="C95" s="54" t="s">
        <v>95</v>
      </c>
      <c r="D95" s="76">
        <v>1.0</v>
      </c>
      <c r="E95" s="56" t="s">
        <v>14</v>
      </c>
      <c r="F95" s="57">
        <v>43.0</v>
      </c>
      <c r="G95" s="58">
        <f t="shared" si="16"/>
        <v>43</v>
      </c>
      <c r="H95" s="59">
        <f t="shared" si="17"/>
        <v>47.3</v>
      </c>
      <c r="I95" s="60">
        <v>0.1</v>
      </c>
      <c r="J95" s="51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0" customHeight="1">
      <c r="A96" s="46"/>
      <c r="B96" s="63"/>
      <c r="C96" s="54" t="s">
        <v>96</v>
      </c>
      <c r="D96" s="76">
        <v>1.0</v>
      </c>
      <c r="E96" s="56" t="s">
        <v>14</v>
      </c>
      <c r="F96" s="57">
        <v>158.0</v>
      </c>
      <c r="G96" s="58">
        <f t="shared" si="16"/>
        <v>158</v>
      </c>
      <c r="H96" s="59">
        <f t="shared" si="17"/>
        <v>173.8</v>
      </c>
      <c r="I96" s="60">
        <v>0.1</v>
      </c>
      <c r="J96" s="51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0" customHeight="1">
      <c r="A97" s="64"/>
      <c r="B97" s="65" t="s">
        <v>97</v>
      </c>
      <c r="C97" s="66"/>
      <c r="D97" s="66"/>
      <c r="E97" s="66"/>
      <c r="F97" s="67"/>
      <c r="G97" s="68">
        <f t="shared" ref="G97:H97" si="18">SUM(G86:G96)</f>
        <v>3221</v>
      </c>
      <c r="H97" s="69">
        <f t="shared" si="18"/>
        <v>3543.1</v>
      </c>
      <c r="I97" s="70"/>
      <c r="J97" s="51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0" customHeight="1">
      <c r="A98" s="71"/>
      <c r="B98" s="72"/>
      <c r="C98" s="72"/>
      <c r="D98" s="72"/>
      <c r="E98" s="72"/>
      <c r="F98" s="72"/>
      <c r="G98" s="73"/>
      <c r="H98" s="73"/>
      <c r="I98" s="74"/>
      <c r="J98" s="7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0" customHeight="1">
      <c r="A99" s="46"/>
      <c r="B99" s="47" t="s">
        <v>11</v>
      </c>
      <c r="C99" s="48" t="s">
        <v>12</v>
      </c>
      <c r="D99" s="48" t="s">
        <v>13</v>
      </c>
      <c r="E99" s="48" t="s">
        <v>14</v>
      </c>
      <c r="F99" s="48" t="s">
        <v>15</v>
      </c>
      <c r="G99" s="49" t="s">
        <v>16</v>
      </c>
      <c r="H99" s="48" t="s">
        <v>17</v>
      </c>
      <c r="I99" s="50" t="s">
        <v>18</v>
      </c>
      <c r="J99" s="51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0" customHeight="1">
      <c r="A100" s="52"/>
      <c r="B100" s="53" t="s">
        <v>98</v>
      </c>
      <c r="C100" s="54" t="s">
        <v>99</v>
      </c>
      <c r="D100" s="76">
        <v>1.0</v>
      </c>
      <c r="E100" s="56" t="s">
        <v>14</v>
      </c>
      <c r="F100" s="57">
        <v>635.0</v>
      </c>
      <c r="G100" s="58">
        <f t="shared" ref="G100:G115" si="19">D100*F100</f>
        <v>635</v>
      </c>
      <c r="H100" s="59">
        <f t="shared" ref="H100:H115" si="20">G100+(G100*10/100)</f>
        <v>698.5</v>
      </c>
      <c r="I100" s="60">
        <v>0.1</v>
      </c>
      <c r="J100" s="51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0" customHeight="1">
      <c r="A101" s="61"/>
      <c r="B101" s="62"/>
      <c r="C101" s="54" t="s">
        <v>100</v>
      </c>
      <c r="D101" s="76">
        <v>1.0</v>
      </c>
      <c r="E101" s="56" t="s">
        <v>14</v>
      </c>
      <c r="F101" s="57">
        <v>1061.0</v>
      </c>
      <c r="G101" s="58">
        <f t="shared" si="19"/>
        <v>1061</v>
      </c>
      <c r="H101" s="59">
        <f t="shared" si="20"/>
        <v>1167.1</v>
      </c>
      <c r="I101" s="60">
        <v>0.1</v>
      </c>
      <c r="J101" s="51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0" customHeight="1">
      <c r="A102" s="61"/>
      <c r="B102" s="62"/>
      <c r="C102" s="54" t="s">
        <v>101</v>
      </c>
      <c r="D102" s="76">
        <v>1.0</v>
      </c>
      <c r="E102" s="56" t="s">
        <v>14</v>
      </c>
      <c r="F102" s="57">
        <v>635.0</v>
      </c>
      <c r="G102" s="58">
        <f t="shared" si="19"/>
        <v>635</v>
      </c>
      <c r="H102" s="59">
        <f t="shared" si="20"/>
        <v>698.5</v>
      </c>
      <c r="I102" s="60">
        <v>0.1</v>
      </c>
      <c r="J102" s="51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0" customHeight="1">
      <c r="A103" s="61"/>
      <c r="B103" s="62"/>
      <c r="C103" s="54" t="s">
        <v>102</v>
      </c>
      <c r="D103" s="76">
        <v>1.0</v>
      </c>
      <c r="E103" s="56" t="s">
        <v>14</v>
      </c>
      <c r="F103" s="57">
        <v>529.0</v>
      </c>
      <c r="G103" s="58">
        <f t="shared" si="19"/>
        <v>529</v>
      </c>
      <c r="H103" s="59">
        <f t="shared" si="20"/>
        <v>581.9</v>
      </c>
      <c r="I103" s="60">
        <v>0.1</v>
      </c>
      <c r="J103" s="51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0" customHeight="1">
      <c r="A104" s="61"/>
      <c r="B104" s="62"/>
      <c r="C104" s="54" t="s">
        <v>103</v>
      </c>
      <c r="D104" s="76">
        <v>1.0</v>
      </c>
      <c r="E104" s="56" t="s">
        <v>14</v>
      </c>
      <c r="F104" s="57">
        <v>212.0</v>
      </c>
      <c r="G104" s="58">
        <f t="shared" si="19"/>
        <v>212</v>
      </c>
      <c r="H104" s="59">
        <f t="shared" si="20"/>
        <v>233.2</v>
      </c>
      <c r="I104" s="60">
        <v>0.1</v>
      </c>
      <c r="J104" s="51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0" customHeight="1">
      <c r="A105" s="61"/>
      <c r="B105" s="62"/>
      <c r="C105" s="54" t="s">
        <v>104</v>
      </c>
      <c r="D105" s="76">
        <v>1.0</v>
      </c>
      <c r="E105" s="56" t="s">
        <v>14</v>
      </c>
      <c r="F105" s="57">
        <v>370.0</v>
      </c>
      <c r="G105" s="58">
        <f t="shared" si="19"/>
        <v>370</v>
      </c>
      <c r="H105" s="59">
        <f t="shared" si="20"/>
        <v>407</v>
      </c>
      <c r="I105" s="60">
        <v>0.1</v>
      </c>
      <c r="J105" s="51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0" customHeight="1">
      <c r="A106" s="46"/>
      <c r="B106" s="62"/>
      <c r="C106" s="54" t="s">
        <v>105</v>
      </c>
      <c r="D106" s="76">
        <v>1.0</v>
      </c>
      <c r="E106" s="56" t="s">
        <v>14</v>
      </c>
      <c r="F106" s="57">
        <v>2122.0</v>
      </c>
      <c r="G106" s="58">
        <f t="shared" si="19"/>
        <v>2122</v>
      </c>
      <c r="H106" s="59">
        <f t="shared" si="20"/>
        <v>2334.2</v>
      </c>
      <c r="I106" s="60">
        <v>0.1</v>
      </c>
      <c r="J106" s="51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0" customHeight="1">
      <c r="A107" s="46"/>
      <c r="B107" s="62"/>
      <c r="C107" s="54" t="s">
        <v>106</v>
      </c>
      <c r="D107" s="76">
        <v>1.0</v>
      </c>
      <c r="E107" s="56" t="s">
        <v>14</v>
      </c>
      <c r="F107" s="57">
        <v>1592.0</v>
      </c>
      <c r="G107" s="58">
        <f t="shared" si="19"/>
        <v>1592</v>
      </c>
      <c r="H107" s="59">
        <f t="shared" si="20"/>
        <v>1751.2</v>
      </c>
      <c r="I107" s="60">
        <v>0.1</v>
      </c>
      <c r="J107" s="51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0" customHeight="1">
      <c r="A108" s="46"/>
      <c r="B108" s="62"/>
      <c r="C108" s="54" t="s">
        <v>107</v>
      </c>
      <c r="D108" s="76">
        <v>1.0</v>
      </c>
      <c r="E108" s="56" t="s">
        <v>14</v>
      </c>
      <c r="F108" s="57">
        <v>318.0</v>
      </c>
      <c r="G108" s="58">
        <f t="shared" si="19"/>
        <v>318</v>
      </c>
      <c r="H108" s="59">
        <f t="shared" si="20"/>
        <v>349.8</v>
      </c>
      <c r="I108" s="60">
        <v>0.1</v>
      </c>
      <c r="J108" s="51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0" customHeight="1">
      <c r="A109" s="46"/>
      <c r="B109" s="62"/>
      <c r="C109" s="54" t="s">
        <v>108</v>
      </c>
      <c r="D109" s="76">
        <v>1.0</v>
      </c>
      <c r="E109" s="56" t="s">
        <v>14</v>
      </c>
      <c r="F109" s="57">
        <v>529.0</v>
      </c>
      <c r="G109" s="58">
        <f t="shared" si="19"/>
        <v>529</v>
      </c>
      <c r="H109" s="59">
        <f t="shared" si="20"/>
        <v>581.9</v>
      </c>
      <c r="I109" s="60">
        <v>0.1</v>
      </c>
      <c r="J109" s="51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0" customHeight="1">
      <c r="A110" s="46"/>
      <c r="B110" s="62"/>
      <c r="C110" s="54" t="s">
        <v>109</v>
      </c>
      <c r="D110" s="76">
        <v>1.0</v>
      </c>
      <c r="E110" s="56" t="s">
        <v>14</v>
      </c>
      <c r="F110" s="57">
        <v>849.0</v>
      </c>
      <c r="G110" s="58">
        <f t="shared" si="19"/>
        <v>849</v>
      </c>
      <c r="H110" s="59">
        <f t="shared" si="20"/>
        <v>933.9</v>
      </c>
      <c r="I110" s="60">
        <v>0.1</v>
      </c>
      <c r="J110" s="51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0" customHeight="1">
      <c r="A111" s="46"/>
      <c r="B111" s="62"/>
      <c r="C111" s="54" t="s">
        <v>110</v>
      </c>
      <c r="D111" s="76">
        <v>1.0</v>
      </c>
      <c r="E111" s="56" t="s">
        <v>14</v>
      </c>
      <c r="F111" s="57">
        <v>583.0</v>
      </c>
      <c r="G111" s="58">
        <f t="shared" si="19"/>
        <v>583</v>
      </c>
      <c r="H111" s="59">
        <f t="shared" si="20"/>
        <v>641.3</v>
      </c>
      <c r="I111" s="60">
        <v>0.1</v>
      </c>
      <c r="J111" s="51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0" customHeight="1">
      <c r="A112" s="46"/>
      <c r="B112" s="62"/>
      <c r="C112" s="54" t="s">
        <v>111</v>
      </c>
      <c r="D112" s="76">
        <v>1.0</v>
      </c>
      <c r="E112" s="56" t="s">
        <v>14</v>
      </c>
      <c r="F112" s="57">
        <v>106.0</v>
      </c>
      <c r="G112" s="58">
        <f t="shared" si="19"/>
        <v>106</v>
      </c>
      <c r="H112" s="59">
        <f t="shared" si="20"/>
        <v>116.6</v>
      </c>
      <c r="I112" s="60">
        <v>0.1</v>
      </c>
      <c r="J112" s="51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0" customHeight="1">
      <c r="A113" s="46"/>
      <c r="B113" s="62"/>
      <c r="C113" s="54" t="s">
        <v>112</v>
      </c>
      <c r="D113" s="76">
        <v>1.0</v>
      </c>
      <c r="E113" s="56" t="s">
        <v>14</v>
      </c>
      <c r="F113" s="57">
        <v>53.0</v>
      </c>
      <c r="G113" s="58">
        <f t="shared" si="19"/>
        <v>53</v>
      </c>
      <c r="H113" s="59">
        <f t="shared" si="20"/>
        <v>58.3</v>
      </c>
      <c r="I113" s="60">
        <v>0.1</v>
      </c>
      <c r="J113" s="51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0" customHeight="1">
      <c r="A114" s="46"/>
      <c r="B114" s="62"/>
      <c r="C114" s="54" t="s">
        <v>113</v>
      </c>
      <c r="D114" s="76">
        <v>1.0</v>
      </c>
      <c r="E114" s="56" t="s">
        <v>14</v>
      </c>
      <c r="F114" s="57">
        <v>159.0</v>
      </c>
      <c r="G114" s="58">
        <f t="shared" si="19"/>
        <v>159</v>
      </c>
      <c r="H114" s="59">
        <f t="shared" si="20"/>
        <v>174.9</v>
      </c>
      <c r="I114" s="60">
        <v>0.1</v>
      </c>
      <c r="J114" s="51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0" customHeight="1">
      <c r="A115" s="46"/>
      <c r="B115" s="63"/>
      <c r="C115" s="54" t="s">
        <v>114</v>
      </c>
      <c r="D115" s="76">
        <v>1.0</v>
      </c>
      <c r="E115" s="56" t="s">
        <v>14</v>
      </c>
      <c r="F115" s="57">
        <v>53.0</v>
      </c>
      <c r="G115" s="58">
        <f t="shared" si="19"/>
        <v>53</v>
      </c>
      <c r="H115" s="59">
        <f t="shared" si="20"/>
        <v>58.3</v>
      </c>
      <c r="I115" s="60">
        <v>0.1</v>
      </c>
      <c r="J115" s="51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0" customHeight="1">
      <c r="A116" s="64"/>
      <c r="B116" s="65" t="s">
        <v>115</v>
      </c>
      <c r="C116" s="66"/>
      <c r="D116" s="66"/>
      <c r="E116" s="66"/>
      <c r="F116" s="67"/>
      <c r="G116" s="68">
        <f t="shared" ref="G116:H116" si="21">SUM(G100:G115)</f>
        <v>9806</v>
      </c>
      <c r="H116" s="79">
        <f t="shared" si="21"/>
        <v>10786.6</v>
      </c>
      <c r="I116" s="70"/>
      <c r="J116" s="51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0" customHeight="1">
      <c r="A117" s="71"/>
      <c r="B117" s="72"/>
      <c r="C117" s="72"/>
      <c r="D117" s="72"/>
      <c r="E117" s="72"/>
      <c r="F117" s="72"/>
      <c r="G117" s="73"/>
      <c r="H117" s="73"/>
      <c r="I117" s="74"/>
      <c r="J117" s="7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0" customHeight="1">
      <c r="A118" s="46"/>
      <c r="B118" s="47" t="s">
        <v>11</v>
      </c>
      <c r="C118" s="48" t="s">
        <v>12</v>
      </c>
      <c r="D118" s="48" t="s">
        <v>13</v>
      </c>
      <c r="E118" s="48" t="s">
        <v>14</v>
      </c>
      <c r="F118" s="48" t="s">
        <v>15</v>
      </c>
      <c r="G118" s="49" t="s">
        <v>16</v>
      </c>
      <c r="H118" s="48" t="s">
        <v>17</v>
      </c>
      <c r="I118" s="50" t="s">
        <v>18</v>
      </c>
      <c r="J118" s="51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0" customHeight="1">
      <c r="A119" s="52"/>
      <c r="B119" s="53" t="s">
        <v>116</v>
      </c>
      <c r="C119" s="54" t="s">
        <v>117</v>
      </c>
      <c r="D119" s="76">
        <v>1.0</v>
      </c>
      <c r="E119" s="56" t="s">
        <v>30</v>
      </c>
      <c r="F119" s="57">
        <v>52.0</v>
      </c>
      <c r="G119" s="58">
        <f t="shared" ref="G119:G140" si="22">D119*F119</f>
        <v>52</v>
      </c>
      <c r="H119" s="59">
        <f t="shared" ref="H119:H140" si="23">G119+(G119*10/100)</f>
        <v>57.2</v>
      </c>
      <c r="I119" s="60">
        <v>0.1</v>
      </c>
      <c r="J119" s="51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0" customHeight="1">
      <c r="A120" s="61"/>
      <c r="B120" s="62"/>
      <c r="C120" s="54" t="s">
        <v>118</v>
      </c>
      <c r="D120" s="76">
        <v>1.0</v>
      </c>
      <c r="E120" s="56" t="s">
        <v>30</v>
      </c>
      <c r="F120" s="57">
        <v>20.0</v>
      </c>
      <c r="G120" s="58">
        <f t="shared" si="22"/>
        <v>20</v>
      </c>
      <c r="H120" s="59">
        <f t="shared" si="23"/>
        <v>22</v>
      </c>
      <c r="I120" s="60">
        <v>0.1</v>
      </c>
      <c r="J120" s="51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0" customHeight="1">
      <c r="A121" s="61"/>
      <c r="B121" s="62"/>
      <c r="C121" s="54" t="s">
        <v>119</v>
      </c>
      <c r="D121" s="76">
        <v>1.0</v>
      </c>
      <c r="E121" s="56" t="s">
        <v>30</v>
      </c>
      <c r="F121" s="57">
        <v>26.0</v>
      </c>
      <c r="G121" s="58">
        <f t="shared" si="22"/>
        <v>26</v>
      </c>
      <c r="H121" s="59">
        <f t="shared" si="23"/>
        <v>28.6</v>
      </c>
      <c r="I121" s="60">
        <v>0.1</v>
      </c>
      <c r="J121" s="51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0" customHeight="1">
      <c r="A122" s="61"/>
      <c r="B122" s="62"/>
      <c r="C122" s="54" t="s">
        <v>120</v>
      </c>
      <c r="D122" s="76">
        <v>1.0</v>
      </c>
      <c r="E122" s="56" t="s">
        <v>30</v>
      </c>
      <c r="F122" s="57">
        <v>85.0</v>
      </c>
      <c r="G122" s="58">
        <f t="shared" si="22"/>
        <v>85</v>
      </c>
      <c r="H122" s="59">
        <f t="shared" si="23"/>
        <v>93.5</v>
      </c>
      <c r="I122" s="60">
        <v>0.1</v>
      </c>
      <c r="J122" s="51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0" customHeight="1">
      <c r="A123" s="61"/>
      <c r="B123" s="62"/>
      <c r="C123" s="54" t="s">
        <v>121</v>
      </c>
      <c r="D123" s="76">
        <v>1.0</v>
      </c>
      <c r="E123" s="56" t="s">
        <v>30</v>
      </c>
      <c r="F123" s="57">
        <v>42.0</v>
      </c>
      <c r="G123" s="58">
        <f t="shared" si="22"/>
        <v>42</v>
      </c>
      <c r="H123" s="59">
        <f t="shared" si="23"/>
        <v>46.2</v>
      </c>
      <c r="I123" s="60">
        <v>0.1</v>
      </c>
      <c r="J123" s="51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0" customHeight="1">
      <c r="A124" s="61"/>
      <c r="B124" s="62"/>
      <c r="C124" s="54" t="s">
        <v>122</v>
      </c>
      <c r="D124" s="76">
        <v>1.0</v>
      </c>
      <c r="E124" s="56" t="s">
        <v>30</v>
      </c>
      <c r="F124" s="57">
        <v>53.0</v>
      </c>
      <c r="G124" s="58">
        <f t="shared" si="22"/>
        <v>53</v>
      </c>
      <c r="H124" s="59">
        <f t="shared" si="23"/>
        <v>58.3</v>
      </c>
      <c r="I124" s="60">
        <v>0.1</v>
      </c>
      <c r="J124" s="51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0" customHeight="1">
      <c r="A125" s="61"/>
      <c r="B125" s="62"/>
      <c r="C125" s="54" t="s">
        <v>123</v>
      </c>
      <c r="D125" s="76">
        <v>1.0</v>
      </c>
      <c r="E125" s="56" t="s">
        <v>30</v>
      </c>
      <c r="F125" s="57">
        <v>53.0</v>
      </c>
      <c r="G125" s="58">
        <f t="shared" si="22"/>
        <v>53</v>
      </c>
      <c r="H125" s="59">
        <f t="shared" si="23"/>
        <v>58.3</v>
      </c>
      <c r="I125" s="60">
        <v>0.1</v>
      </c>
      <c r="J125" s="51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0" customHeight="1">
      <c r="A126" s="46"/>
      <c r="B126" s="62"/>
      <c r="C126" s="54" t="s">
        <v>124</v>
      </c>
      <c r="D126" s="76">
        <v>1.0</v>
      </c>
      <c r="E126" s="56" t="s">
        <v>30</v>
      </c>
      <c r="F126" s="57">
        <v>32.0</v>
      </c>
      <c r="G126" s="58">
        <f t="shared" si="22"/>
        <v>32</v>
      </c>
      <c r="H126" s="59">
        <f t="shared" si="23"/>
        <v>35.2</v>
      </c>
      <c r="I126" s="60">
        <v>0.1</v>
      </c>
      <c r="J126" s="51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0" customHeight="1">
      <c r="A127" s="46"/>
      <c r="B127" s="62"/>
      <c r="C127" s="54" t="s">
        <v>125</v>
      </c>
      <c r="D127" s="76">
        <v>1.0</v>
      </c>
      <c r="E127" s="56" t="s">
        <v>30</v>
      </c>
      <c r="F127" s="57">
        <v>5.0</v>
      </c>
      <c r="G127" s="58">
        <f t="shared" si="22"/>
        <v>5</v>
      </c>
      <c r="H127" s="59">
        <f t="shared" si="23"/>
        <v>5.5</v>
      </c>
      <c r="I127" s="60">
        <v>0.1</v>
      </c>
      <c r="J127" s="51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0" customHeight="1">
      <c r="A128" s="46"/>
      <c r="B128" s="62"/>
      <c r="C128" s="54" t="s">
        <v>126</v>
      </c>
      <c r="D128" s="76">
        <v>1.0</v>
      </c>
      <c r="E128" s="56" t="s">
        <v>30</v>
      </c>
      <c r="F128" s="57">
        <v>5.0</v>
      </c>
      <c r="G128" s="58">
        <f t="shared" si="22"/>
        <v>5</v>
      </c>
      <c r="H128" s="59">
        <f t="shared" si="23"/>
        <v>5.5</v>
      </c>
      <c r="I128" s="60">
        <v>0.1</v>
      </c>
      <c r="J128" s="51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0" customHeight="1">
      <c r="A129" s="46"/>
      <c r="B129" s="62"/>
      <c r="C129" s="54" t="s">
        <v>127</v>
      </c>
      <c r="D129" s="76">
        <v>1.0</v>
      </c>
      <c r="E129" s="56" t="s">
        <v>30</v>
      </c>
      <c r="F129" s="57">
        <v>21.0</v>
      </c>
      <c r="G129" s="58">
        <f t="shared" si="22"/>
        <v>21</v>
      </c>
      <c r="H129" s="59">
        <f t="shared" si="23"/>
        <v>23.1</v>
      </c>
      <c r="I129" s="60">
        <v>0.1</v>
      </c>
      <c r="J129" s="51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0" customHeight="1">
      <c r="A130" s="46"/>
      <c r="B130" s="62"/>
      <c r="C130" s="54" t="s">
        <v>128</v>
      </c>
      <c r="D130" s="76">
        <v>1.0</v>
      </c>
      <c r="E130" s="56" t="s">
        <v>30</v>
      </c>
      <c r="F130" s="57">
        <v>10.0</v>
      </c>
      <c r="G130" s="58">
        <f t="shared" si="22"/>
        <v>10</v>
      </c>
      <c r="H130" s="59">
        <f t="shared" si="23"/>
        <v>11</v>
      </c>
      <c r="I130" s="60">
        <v>0.1</v>
      </c>
      <c r="J130" s="51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0" customHeight="1">
      <c r="A131" s="46"/>
      <c r="B131" s="62"/>
      <c r="C131" s="54" t="s">
        <v>129</v>
      </c>
      <c r="D131" s="76">
        <v>1.0</v>
      </c>
      <c r="E131" s="56" t="s">
        <v>30</v>
      </c>
      <c r="F131" s="57">
        <v>15.0</v>
      </c>
      <c r="G131" s="58">
        <f t="shared" si="22"/>
        <v>15</v>
      </c>
      <c r="H131" s="59">
        <f t="shared" si="23"/>
        <v>16.5</v>
      </c>
      <c r="I131" s="60">
        <v>0.1</v>
      </c>
      <c r="J131" s="51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0" customHeight="1">
      <c r="A132" s="46"/>
      <c r="B132" s="62"/>
      <c r="C132" s="54" t="s">
        <v>130</v>
      </c>
      <c r="D132" s="76">
        <v>1.0</v>
      </c>
      <c r="E132" s="56" t="s">
        <v>30</v>
      </c>
      <c r="F132" s="57">
        <v>10.0</v>
      </c>
      <c r="G132" s="58">
        <f t="shared" si="22"/>
        <v>10</v>
      </c>
      <c r="H132" s="59">
        <f t="shared" si="23"/>
        <v>11</v>
      </c>
      <c r="I132" s="60">
        <v>0.1</v>
      </c>
      <c r="J132" s="51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0" customHeight="1">
      <c r="A133" s="46"/>
      <c r="B133" s="62"/>
      <c r="C133" s="54" t="s">
        <v>131</v>
      </c>
      <c r="D133" s="76">
        <v>1.0</v>
      </c>
      <c r="E133" s="56" t="s">
        <v>30</v>
      </c>
      <c r="F133" s="57">
        <v>15.0</v>
      </c>
      <c r="G133" s="58">
        <f t="shared" si="22"/>
        <v>15</v>
      </c>
      <c r="H133" s="59">
        <f t="shared" si="23"/>
        <v>16.5</v>
      </c>
      <c r="I133" s="60">
        <v>0.1</v>
      </c>
      <c r="J133" s="51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0" customHeight="1">
      <c r="A134" s="46"/>
      <c r="B134" s="62"/>
      <c r="C134" s="54" t="s">
        <v>132</v>
      </c>
      <c r="D134" s="76">
        <v>1.0</v>
      </c>
      <c r="E134" s="56" t="s">
        <v>30</v>
      </c>
      <c r="F134" s="57">
        <v>32.0</v>
      </c>
      <c r="G134" s="58">
        <f t="shared" si="22"/>
        <v>32</v>
      </c>
      <c r="H134" s="59">
        <f t="shared" si="23"/>
        <v>35.2</v>
      </c>
      <c r="I134" s="60">
        <v>0.1</v>
      </c>
      <c r="J134" s="51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0" customHeight="1">
      <c r="A135" s="46"/>
      <c r="B135" s="62"/>
      <c r="C135" s="54" t="s">
        <v>133</v>
      </c>
      <c r="D135" s="76">
        <v>1.0</v>
      </c>
      <c r="E135" s="56" t="s">
        <v>30</v>
      </c>
      <c r="F135" s="57">
        <v>10.0</v>
      </c>
      <c r="G135" s="58">
        <f t="shared" si="22"/>
        <v>10</v>
      </c>
      <c r="H135" s="59">
        <f t="shared" si="23"/>
        <v>11</v>
      </c>
      <c r="I135" s="60">
        <v>0.1</v>
      </c>
      <c r="J135" s="51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0" customHeight="1">
      <c r="A136" s="46"/>
      <c r="B136" s="62"/>
      <c r="C136" s="54" t="s">
        <v>134</v>
      </c>
      <c r="D136" s="76">
        <v>1.0</v>
      </c>
      <c r="E136" s="56" t="s">
        <v>135</v>
      </c>
      <c r="F136" s="57">
        <v>10.0</v>
      </c>
      <c r="G136" s="58">
        <f t="shared" si="22"/>
        <v>10</v>
      </c>
      <c r="H136" s="59">
        <f t="shared" si="23"/>
        <v>11</v>
      </c>
      <c r="I136" s="60">
        <v>0.1</v>
      </c>
      <c r="J136" s="51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0" customHeight="1">
      <c r="A137" s="46"/>
      <c r="B137" s="62"/>
      <c r="C137" s="54" t="s">
        <v>125</v>
      </c>
      <c r="D137" s="76">
        <v>1.0</v>
      </c>
      <c r="E137" s="56" t="s">
        <v>30</v>
      </c>
      <c r="F137" s="57">
        <v>5.0</v>
      </c>
      <c r="G137" s="58">
        <f t="shared" si="22"/>
        <v>5</v>
      </c>
      <c r="H137" s="59">
        <f t="shared" si="23"/>
        <v>5.5</v>
      </c>
      <c r="I137" s="60">
        <v>0.1</v>
      </c>
      <c r="J137" s="51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0" customHeight="1">
      <c r="A138" s="46"/>
      <c r="B138" s="62"/>
      <c r="C138" s="54" t="s">
        <v>126</v>
      </c>
      <c r="D138" s="76">
        <v>1.0</v>
      </c>
      <c r="E138" s="56" t="s">
        <v>30</v>
      </c>
      <c r="F138" s="57">
        <v>5.0</v>
      </c>
      <c r="G138" s="58">
        <f t="shared" si="22"/>
        <v>5</v>
      </c>
      <c r="H138" s="59">
        <f t="shared" si="23"/>
        <v>5.5</v>
      </c>
      <c r="I138" s="60">
        <v>0.1</v>
      </c>
      <c r="J138" s="51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0" customHeight="1">
      <c r="A139" s="46"/>
      <c r="B139" s="62"/>
      <c r="C139" s="54" t="s">
        <v>127</v>
      </c>
      <c r="D139" s="76">
        <v>1.0</v>
      </c>
      <c r="E139" s="56" t="s">
        <v>30</v>
      </c>
      <c r="F139" s="57">
        <v>21.0</v>
      </c>
      <c r="G139" s="58">
        <f t="shared" si="22"/>
        <v>21</v>
      </c>
      <c r="H139" s="59">
        <f t="shared" si="23"/>
        <v>23.1</v>
      </c>
      <c r="I139" s="60">
        <v>0.1</v>
      </c>
      <c r="J139" s="51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0" customHeight="1">
      <c r="A140" s="46"/>
      <c r="B140" s="63"/>
      <c r="C140" s="54" t="s">
        <v>128</v>
      </c>
      <c r="D140" s="76">
        <v>1.0</v>
      </c>
      <c r="E140" s="56" t="s">
        <v>30</v>
      </c>
      <c r="F140" s="57">
        <v>10.0</v>
      </c>
      <c r="G140" s="58">
        <f t="shared" si="22"/>
        <v>10</v>
      </c>
      <c r="H140" s="59">
        <f t="shared" si="23"/>
        <v>11</v>
      </c>
      <c r="I140" s="60">
        <v>0.1</v>
      </c>
      <c r="J140" s="51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0" customHeight="1">
      <c r="A141" s="64"/>
      <c r="B141" s="65" t="s">
        <v>136</v>
      </c>
      <c r="C141" s="66"/>
      <c r="D141" s="66"/>
      <c r="E141" s="66"/>
      <c r="F141" s="67"/>
      <c r="G141" s="68">
        <f t="shared" ref="G141:H141" si="24">SUM(G119:G140)</f>
        <v>537</v>
      </c>
      <c r="H141" s="69">
        <f t="shared" si="24"/>
        <v>590.7</v>
      </c>
      <c r="I141" s="70"/>
      <c r="J141" s="51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0" customHeight="1">
      <c r="A142" s="71"/>
      <c r="B142" s="72"/>
      <c r="C142" s="72"/>
      <c r="D142" s="72"/>
      <c r="E142" s="72"/>
      <c r="F142" s="72"/>
      <c r="G142" s="73"/>
      <c r="H142" s="73"/>
      <c r="I142" s="74"/>
      <c r="J142" s="7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0" customHeight="1">
      <c r="A143" s="46"/>
      <c r="B143" s="47" t="s">
        <v>11</v>
      </c>
      <c r="C143" s="48" t="s">
        <v>12</v>
      </c>
      <c r="D143" s="48" t="s">
        <v>13</v>
      </c>
      <c r="E143" s="48" t="s">
        <v>14</v>
      </c>
      <c r="F143" s="48" t="s">
        <v>15</v>
      </c>
      <c r="G143" s="49" t="s">
        <v>16</v>
      </c>
      <c r="H143" s="48" t="s">
        <v>17</v>
      </c>
      <c r="I143" s="50" t="s">
        <v>18</v>
      </c>
      <c r="J143" s="51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0" customHeight="1">
      <c r="A144" s="52"/>
      <c r="B144" s="53" t="s">
        <v>137</v>
      </c>
      <c r="C144" s="54" t="s">
        <v>138</v>
      </c>
      <c r="D144" s="76">
        <v>10.0</v>
      </c>
      <c r="E144" s="56" t="s">
        <v>30</v>
      </c>
      <c r="F144" s="57">
        <v>26.0</v>
      </c>
      <c r="G144" s="58">
        <f t="shared" ref="G144:G148" si="25">D144*F144</f>
        <v>260</v>
      </c>
      <c r="H144" s="59">
        <f t="shared" ref="H144:H148" si="26">G144+(G144*10/100)</f>
        <v>286</v>
      </c>
      <c r="I144" s="60">
        <v>0.1</v>
      </c>
      <c r="J144" s="51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0" customHeight="1">
      <c r="A145" s="61"/>
      <c r="B145" s="62"/>
      <c r="C145" s="54" t="s">
        <v>139</v>
      </c>
      <c r="D145" s="76">
        <v>20.0</v>
      </c>
      <c r="E145" s="56" t="s">
        <v>30</v>
      </c>
      <c r="F145" s="57">
        <v>37.0</v>
      </c>
      <c r="G145" s="58">
        <f t="shared" si="25"/>
        <v>740</v>
      </c>
      <c r="H145" s="59">
        <f t="shared" si="26"/>
        <v>814</v>
      </c>
      <c r="I145" s="60">
        <v>0.1</v>
      </c>
      <c r="J145" s="51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0" customHeight="1">
      <c r="A146" s="61"/>
      <c r="B146" s="62"/>
      <c r="C146" s="54" t="s">
        <v>140</v>
      </c>
      <c r="D146" s="76">
        <v>1.0</v>
      </c>
      <c r="E146" s="56" t="s">
        <v>23</v>
      </c>
      <c r="F146" s="57">
        <v>139.0</v>
      </c>
      <c r="G146" s="58">
        <f t="shared" si="25"/>
        <v>139</v>
      </c>
      <c r="H146" s="59">
        <f t="shared" si="26"/>
        <v>152.9</v>
      </c>
      <c r="I146" s="60">
        <v>0.1</v>
      </c>
      <c r="J146" s="51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0" customHeight="1">
      <c r="A147" s="61"/>
      <c r="B147" s="62"/>
      <c r="C147" s="54" t="s">
        <v>141</v>
      </c>
      <c r="D147" s="76">
        <v>1.0</v>
      </c>
      <c r="E147" s="56" t="s">
        <v>135</v>
      </c>
      <c r="F147" s="57">
        <v>9.0</v>
      </c>
      <c r="G147" s="58">
        <f t="shared" si="25"/>
        <v>9</v>
      </c>
      <c r="H147" s="59">
        <f t="shared" si="26"/>
        <v>9.9</v>
      </c>
      <c r="I147" s="60">
        <v>0.1</v>
      </c>
      <c r="J147" s="51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0" customHeight="1">
      <c r="A148" s="61"/>
      <c r="B148" s="63"/>
      <c r="C148" s="54" t="s">
        <v>142</v>
      </c>
      <c r="D148" s="76">
        <v>1.0</v>
      </c>
      <c r="E148" s="56" t="s">
        <v>30</v>
      </c>
      <c r="F148" s="57">
        <v>15.0</v>
      </c>
      <c r="G148" s="58">
        <f t="shared" si="25"/>
        <v>15</v>
      </c>
      <c r="H148" s="59">
        <f t="shared" si="26"/>
        <v>16.5</v>
      </c>
      <c r="I148" s="60">
        <v>0.1</v>
      </c>
      <c r="J148" s="51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0" customHeight="1">
      <c r="A149" s="64"/>
      <c r="B149" s="65" t="s">
        <v>143</v>
      </c>
      <c r="C149" s="66"/>
      <c r="D149" s="66"/>
      <c r="E149" s="66"/>
      <c r="F149" s="67"/>
      <c r="G149" s="68">
        <f t="shared" ref="G149:H149" si="27">SUM(G144:G148)</f>
        <v>1163</v>
      </c>
      <c r="H149" s="69">
        <f t="shared" si="27"/>
        <v>1279.3</v>
      </c>
      <c r="I149" s="70"/>
      <c r="J149" s="51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0" customHeight="1">
      <c r="A150" s="71"/>
      <c r="B150" s="72"/>
      <c r="C150" s="72"/>
      <c r="D150" s="72"/>
      <c r="E150" s="72"/>
      <c r="F150" s="72"/>
      <c r="G150" s="73"/>
      <c r="H150" s="73"/>
      <c r="I150" s="74"/>
      <c r="J150" s="7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0" customHeight="1">
      <c r="A151" s="46"/>
      <c r="B151" s="47" t="s">
        <v>11</v>
      </c>
      <c r="C151" s="48" t="s">
        <v>12</v>
      </c>
      <c r="D151" s="48" t="s">
        <v>13</v>
      </c>
      <c r="E151" s="48" t="s">
        <v>14</v>
      </c>
      <c r="F151" s="48" t="s">
        <v>15</v>
      </c>
      <c r="G151" s="49" t="s">
        <v>16</v>
      </c>
      <c r="H151" s="48" t="s">
        <v>17</v>
      </c>
      <c r="I151" s="50" t="s">
        <v>18</v>
      </c>
      <c r="J151" s="51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0" customHeight="1">
      <c r="A152" s="52"/>
      <c r="B152" s="53" t="s">
        <v>144</v>
      </c>
      <c r="C152" s="54" t="s">
        <v>145</v>
      </c>
      <c r="D152" s="76">
        <v>1.0</v>
      </c>
      <c r="E152" s="56" t="s">
        <v>23</v>
      </c>
      <c r="F152" s="57">
        <v>933.0</v>
      </c>
      <c r="G152" s="58">
        <f t="shared" ref="G152:G157" si="28">D152*F152</f>
        <v>933</v>
      </c>
      <c r="H152" s="59">
        <f t="shared" ref="H152:H157" si="29">G152+(G152*10/100)</f>
        <v>1026.3</v>
      </c>
      <c r="I152" s="60">
        <v>0.1</v>
      </c>
      <c r="J152" s="51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0" customHeight="1">
      <c r="A153" s="61"/>
      <c r="B153" s="62"/>
      <c r="C153" s="54" t="s">
        <v>146</v>
      </c>
      <c r="D153" s="76">
        <v>1.0</v>
      </c>
      <c r="E153" s="56" t="s">
        <v>23</v>
      </c>
      <c r="F153" s="57">
        <v>1049.0</v>
      </c>
      <c r="G153" s="58">
        <f t="shared" si="28"/>
        <v>1049</v>
      </c>
      <c r="H153" s="59">
        <f t="shared" si="29"/>
        <v>1153.9</v>
      </c>
      <c r="I153" s="60">
        <v>0.1</v>
      </c>
      <c r="J153" s="51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0" customHeight="1">
      <c r="A154" s="61"/>
      <c r="B154" s="62"/>
      <c r="C154" s="54" t="s">
        <v>147</v>
      </c>
      <c r="D154" s="76">
        <v>1.0</v>
      </c>
      <c r="E154" s="56" t="s">
        <v>23</v>
      </c>
      <c r="F154" s="57">
        <v>1516.0</v>
      </c>
      <c r="G154" s="58">
        <f t="shared" si="28"/>
        <v>1516</v>
      </c>
      <c r="H154" s="59">
        <f t="shared" si="29"/>
        <v>1667.6</v>
      </c>
      <c r="I154" s="60">
        <v>0.1</v>
      </c>
      <c r="J154" s="51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0" customHeight="1">
      <c r="A155" s="61"/>
      <c r="B155" s="62"/>
      <c r="C155" s="54" t="s">
        <v>148</v>
      </c>
      <c r="D155" s="76">
        <v>1.0</v>
      </c>
      <c r="E155" s="56" t="s">
        <v>23</v>
      </c>
      <c r="F155" s="57">
        <v>1749.0</v>
      </c>
      <c r="G155" s="58">
        <f t="shared" si="28"/>
        <v>1749</v>
      </c>
      <c r="H155" s="59">
        <f t="shared" si="29"/>
        <v>1923.9</v>
      </c>
      <c r="I155" s="60">
        <v>0.1</v>
      </c>
      <c r="J155" s="51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0" customHeight="1">
      <c r="A156" s="61"/>
      <c r="B156" s="62"/>
      <c r="C156" s="54" t="s">
        <v>149</v>
      </c>
      <c r="D156" s="76">
        <v>1.0</v>
      </c>
      <c r="E156" s="56" t="s">
        <v>23</v>
      </c>
      <c r="F156" s="57">
        <v>212.0</v>
      </c>
      <c r="G156" s="58">
        <f t="shared" si="28"/>
        <v>212</v>
      </c>
      <c r="H156" s="59">
        <f t="shared" si="29"/>
        <v>233.2</v>
      </c>
      <c r="I156" s="60">
        <v>0.1</v>
      </c>
      <c r="J156" s="51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0" customHeight="1">
      <c r="A157" s="46"/>
      <c r="B157" s="63"/>
      <c r="C157" s="54" t="s">
        <v>150</v>
      </c>
      <c r="D157" s="76">
        <v>1.0</v>
      </c>
      <c r="E157" s="56" t="s">
        <v>23</v>
      </c>
      <c r="F157" s="57">
        <v>424.0</v>
      </c>
      <c r="G157" s="58">
        <f t="shared" si="28"/>
        <v>424</v>
      </c>
      <c r="H157" s="59">
        <f t="shared" si="29"/>
        <v>466.4</v>
      </c>
      <c r="I157" s="60">
        <v>0.1</v>
      </c>
      <c r="J157" s="51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0" customHeight="1">
      <c r="A158" s="64"/>
      <c r="B158" s="65" t="s">
        <v>151</v>
      </c>
      <c r="C158" s="66"/>
      <c r="D158" s="66"/>
      <c r="E158" s="66"/>
      <c r="F158" s="67"/>
      <c r="G158" s="68">
        <f t="shared" ref="G158:H158" si="30">SUM(G152:G157)</f>
        <v>5883</v>
      </c>
      <c r="H158" s="69">
        <f t="shared" si="30"/>
        <v>6471.3</v>
      </c>
      <c r="I158" s="70"/>
      <c r="J158" s="51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71"/>
      <c r="B159" s="72"/>
      <c r="C159" s="72"/>
      <c r="D159" s="72"/>
      <c r="E159" s="72"/>
      <c r="F159" s="72"/>
      <c r="G159" s="73"/>
      <c r="H159" s="73"/>
      <c r="I159" s="74"/>
      <c r="J159" s="7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0" customHeight="1">
      <c r="A160" s="46"/>
      <c r="B160" s="47" t="s">
        <v>11</v>
      </c>
      <c r="C160" s="48" t="s">
        <v>12</v>
      </c>
      <c r="D160" s="48" t="s">
        <v>13</v>
      </c>
      <c r="E160" s="48" t="s">
        <v>14</v>
      </c>
      <c r="F160" s="48" t="s">
        <v>15</v>
      </c>
      <c r="G160" s="49" t="s">
        <v>16</v>
      </c>
      <c r="H160" s="48" t="s">
        <v>17</v>
      </c>
      <c r="I160" s="50" t="s">
        <v>18</v>
      </c>
      <c r="J160" s="51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2"/>
      <c r="B161" s="53" t="s">
        <v>152</v>
      </c>
      <c r="C161" s="54" t="s">
        <v>153</v>
      </c>
      <c r="D161" s="76">
        <v>1.0</v>
      </c>
      <c r="E161" s="56" t="s">
        <v>14</v>
      </c>
      <c r="F161" s="57">
        <v>1944.0</v>
      </c>
      <c r="G161" s="58">
        <f t="shared" ref="G161:G165" si="31">D161*F161</f>
        <v>1944</v>
      </c>
      <c r="H161" s="59">
        <f t="shared" ref="H161:H164" si="32">G161+(G161*20/100)</f>
        <v>2332.8</v>
      </c>
      <c r="I161" s="60">
        <v>0.2</v>
      </c>
      <c r="J161" s="51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61"/>
      <c r="B162" s="62"/>
      <c r="C162" s="54" t="s">
        <v>154</v>
      </c>
      <c r="D162" s="76">
        <v>1.0</v>
      </c>
      <c r="E162" s="56" t="s">
        <v>14</v>
      </c>
      <c r="F162" s="57">
        <v>2430.0</v>
      </c>
      <c r="G162" s="58">
        <f t="shared" si="31"/>
        <v>2430</v>
      </c>
      <c r="H162" s="59">
        <f t="shared" si="32"/>
        <v>2916</v>
      </c>
      <c r="I162" s="60">
        <v>0.2</v>
      </c>
      <c r="J162" s="51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61"/>
      <c r="B163" s="62"/>
      <c r="C163" s="54" t="s">
        <v>155</v>
      </c>
      <c r="D163" s="76">
        <v>1.0</v>
      </c>
      <c r="E163" s="56" t="s">
        <v>14</v>
      </c>
      <c r="F163" s="57">
        <v>3888.0</v>
      </c>
      <c r="G163" s="58">
        <f t="shared" si="31"/>
        <v>3888</v>
      </c>
      <c r="H163" s="59">
        <f t="shared" si="32"/>
        <v>4665.6</v>
      </c>
      <c r="I163" s="60">
        <v>0.2</v>
      </c>
      <c r="J163" s="51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61"/>
      <c r="B164" s="62"/>
      <c r="C164" s="54" t="s">
        <v>156</v>
      </c>
      <c r="D164" s="76">
        <v>1.0</v>
      </c>
      <c r="E164" s="56" t="s">
        <v>14</v>
      </c>
      <c r="F164" s="57">
        <v>4374.0</v>
      </c>
      <c r="G164" s="58">
        <f t="shared" si="31"/>
        <v>4374</v>
      </c>
      <c r="H164" s="59">
        <f t="shared" si="32"/>
        <v>5248.8</v>
      </c>
      <c r="I164" s="60">
        <v>0.2</v>
      </c>
      <c r="J164" s="51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61"/>
      <c r="B165" s="63"/>
      <c r="C165" s="54" t="s">
        <v>157</v>
      </c>
      <c r="D165" s="76">
        <v>1.0</v>
      </c>
      <c r="E165" s="56" t="s">
        <v>14</v>
      </c>
      <c r="F165" s="57">
        <v>530.0</v>
      </c>
      <c r="G165" s="58">
        <f t="shared" si="31"/>
        <v>530</v>
      </c>
      <c r="H165" s="59">
        <f>G165+(G165*10/100)</f>
        <v>583</v>
      </c>
      <c r="I165" s="60">
        <v>0.1</v>
      </c>
      <c r="J165" s="51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64"/>
      <c r="B166" s="65" t="s">
        <v>158</v>
      </c>
      <c r="C166" s="66"/>
      <c r="D166" s="66"/>
      <c r="E166" s="66"/>
      <c r="F166" s="67"/>
      <c r="G166" s="68">
        <f t="shared" ref="G166:H166" si="33">SUM(G161:G165)</f>
        <v>13166</v>
      </c>
      <c r="H166" s="79">
        <f t="shared" si="33"/>
        <v>15746.2</v>
      </c>
      <c r="I166" s="70"/>
      <c r="J166" s="51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0" customHeight="1">
      <c r="A167" s="71"/>
      <c r="B167" s="72"/>
      <c r="C167" s="72"/>
      <c r="D167" s="72"/>
      <c r="E167" s="72"/>
      <c r="F167" s="72"/>
      <c r="G167" s="73"/>
      <c r="H167" s="73"/>
      <c r="I167" s="74"/>
      <c r="J167" s="7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4.25" customHeight="1">
      <c r="A168" s="46"/>
      <c r="B168" s="47" t="s">
        <v>11</v>
      </c>
      <c r="C168" s="48" t="s">
        <v>12</v>
      </c>
      <c r="D168" s="48" t="s">
        <v>13</v>
      </c>
      <c r="E168" s="48" t="s">
        <v>14</v>
      </c>
      <c r="F168" s="48" t="s">
        <v>15</v>
      </c>
      <c r="G168" s="49" t="s">
        <v>16</v>
      </c>
      <c r="H168" s="48" t="s">
        <v>17</v>
      </c>
      <c r="I168" s="50" t="s">
        <v>18</v>
      </c>
      <c r="J168" s="51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4.25" customHeight="1">
      <c r="A169" s="52"/>
      <c r="B169" s="53" t="s">
        <v>159</v>
      </c>
      <c r="C169" s="54" t="s">
        <v>160</v>
      </c>
      <c r="D169" s="76">
        <v>1.0</v>
      </c>
      <c r="E169" s="56" t="s">
        <v>30</v>
      </c>
      <c r="F169" s="57">
        <v>84.0</v>
      </c>
      <c r="G169" s="58">
        <f t="shared" ref="G169:G175" si="34">D169*F169</f>
        <v>84</v>
      </c>
      <c r="H169" s="59">
        <f t="shared" ref="H169:H175" si="35">G169*1.1</f>
        <v>92.4</v>
      </c>
      <c r="I169" s="60">
        <v>0.1</v>
      </c>
      <c r="J169" s="51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4.25" customHeight="1">
      <c r="A170" s="61"/>
      <c r="B170" s="62"/>
      <c r="C170" s="54" t="s">
        <v>161</v>
      </c>
      <c r="D170" s="76">
        <v>1.0</v>
      </c>
      <c r="E170" s="56" t="s">
        <v>30</v>
      </c>
      <c r="F170" s="57">
        <v>74.0</v>
      </c>
      <c r="G170" s="58">
        <f t="shared" si="34"/>
        <v>74</v>
      </c>
      <c r="H170" s="59">
        <f t="shared" si="35"/>
        <v>81.4</v>
      </c>
      <c r="I170" s="60">
        <v>0.1</v>
      </c>
      <c r="J170" s="51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4.25" customHeight="1">
      <c r="A171" s="61"/>
      <c r="B171" s="62"/>
      <c r="C171" s="54" t="s">
        <v>162</v>
      </c>
      <c r="D171" s="76">
        <v>1.0</v>
      </c>
      <c r="E171" s="56" t="s">
        <v>30</v>
      </c>
      <c r="F171" s="57">
        <v>106.0</v>
      </c>
      <c r="G171" s="58">
        <f t="shared" si="34"/>
        <v>106</v>
      </c>
      <c r="H171" s="59">
        <f t="shared" si="35"/>
        <v>116.6</v>
      </c>
      <c r="I171" s="60">
        <v>0.1</v>
      </c>
      <c r="J171" s="51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4.25" customHeight="1">
      <c r="A172" s="61"/>
      <c r="B172" s="62"/>
      <c r="C172" s="54" t="s">
        <v>163</v>
      </c>
      <c r="D172" s="76">
        <v>1.0</v>
      </c>
      <c r="E172" s="56" t="s">
        <v>14</v>
      </c>
      <c r="F172" s="57">
        <v>2651.0</v>
      </c>
      <c r="G172" s="58">
        <f t="shared" si="34"/>
        <v>2651</v>
      </c>
      <c r="H172" s="59">
        <f t="shared" si="35"/>
        <v>2916.1</v>
      </c>
      <c r="I172" s="60">
        <v>0.1</v>
      </c>
      <c r="J172" s="51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4.25" customHeight="1">
      <c r="A173" s="61"/>
      <c r="B173" s="62"/>
      <c r="C173" s="54" t="s">
        <v>164</v>
      </c>
      <c r="D173" s="76">
        <v>1.0</v>
      </c>
      <c r="E173" s="56" t="s">
        <v>14</v>
      </c>
      <c r="F173" s="57">
        <v>5302.0</v>
      </c>
      <c r="G173" s="58">
        <f t="shared" si="34"/>
        <v>5302</v>
      </c>
      <c r="H173" s="59">
        <f t="shared" si="35"/>
        <v>5832.2</v>
      </c>
      <c r="I173" s="60">
        <v>0.1</v>
      </c>
      <c r="J173" s="51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4.25" customHeight="1">
      <c r="A174" s="46"/>
      <c r="B174" s="62"/>
      <c r="C174" s="54" t="s">
        <v>165</v>
      </c>
      <c r="D174" s="76">
        <v>1.0</v>
      </c>
      <c r="E174" s="56" t="s">
        <v>30</v>
      </c>
      <c r="F174" s="57">
        <v>53.0</v>
      </c>
      <c r="G174" s="58">
        <f t="shared" si="34"/>
        <v>53</v>
      </c>
      <c r="H174" s="59">
        <f t="shared" si="35"/>
        <v>58.3</v>
      </c>
      <c r="I174" s="60">
        <v>0.1</v>
      </c>
      <c r="J174" s="51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4.25" customHeight="1">
      <c r="A175" s="46"/>
      <c r="B175" s="63"/>
      <c r="C175" s="54" t="s">
        <v>166</v>
      </c>
      <c r="D175" s="76">
        <v>1.0</v>
      </c>
      <c r="E175" s="56" t="s">
        <v>30</v>
      </c>
      <c r="F175" s="57">
        <v>74.0</v>
      </c>
      <c r="G175" s="58">
        <f t="shared" si="34"/>
        <v>74</v>
      </c>
      <c r="H175" s="59">
        <f t="shared" si="35"/>
        <v>81.4</v>
      </c>
      <c r="I175" s="60">
        <v>0.1</v>
      </c>
      <c r="J175" s="51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4.25" customHeight="1">
      <c r="A176" s="64"/>
      <c r="B176" s="65" t="s">
        <v>167</v>
      </c>
      <c r="C176" s="66"/>
      <c r="D176" s="66"/>
      <c r="E176" s="66"/>
      <c r="F176" s="67"/>
      <c r="G176" s="68">
        <f t="shared" ref="G176:H176" si="36">SUM(G169:G175)</f>
        <v>8344</v>
      </c>
      <c r="H176" s="79">
        <f t="shared" si="36"/>
        <v>9178.4</v>
      </c>
      <c r="I176" s="70"/>
      <c r="J176" s="51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71"/>
      <c r="B177" s="80"/>
      <c r="C177" s="80"/>
      <c r="D177" s="80"/>
      <c r="E177" s="80"/>
      <c r="F177" s="80"/>
      <c r="G177" s="81"/>
      <c r="H177" s="82"/>
      <c r="I177" s="80"/>
      <c r="J177" s="83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71"/>
      <c r="B178" s="84"/>
      <c r="C178" s="84"/>
      <c r="D178" s="84"/>
      <c r="E178" s="84"/>
      <c r="F178" s="84"/>
      <c r="G178" s="85"/>
      <c r="H178" s="86"/>
      <c r="I178" s="84"/>
      <c r="J178" s="7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0" customHeight="1">
      <c r="A179" s="71"/>
      <c r="B179" s="87"/>
      <c r="C179" s="87"/>
      <c r="D179" s="87"/>
      <c r="E179" s="87"/>
      <c r="F179" s="87"/>
      <c r="G179" s="88"/>
      <c r="H179" s="89"/>
      <c r="I179" s="90"/>
      <c r="J179" s="83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71"/>
      <c r="B180" s="91"/>
      <c r="C180" s="91"/>
      <c r="D180" s="91"/>
      <c r="E180" s="91"/>
      <c r="F180" s="91"/>
      <c r="G180" s="92"/>
      <c r="H180" s="93"/>
      <c r="I180" s="91"/>
      <c r="J180" s="83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32"/>
      <c r="B181" s="33" t="s">
        <v>168</v>
      </c>
      <c r="C181" s="34"/>
      <c r="D181" s="34"/>
      <c r="E181" s="34"/>
      <c r="F181" s="34"/>
      <c r="G181" s="34"/>
      <c r="H181" s="34"/>
      <c r="I181" s="35"/>
      <c r="J181" s="51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71"/>
      <c r="B182" s="94"/>
      <c r="C182" s="94"/>
      <c r="D182" s="80"/>
      <c r="E182" s="80"/>
      <c r="F182" s="94"/>
      <c r="G182" s="95"/>
      <c r="H182" s="96"/>
      <c r="I182" s="94"/>
      <c r="J182" s="83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0" customHeight="1">
      <c r="A183" s="97"/>
      <c r="B183" s="98" t="s">
        <v>169</v>
      </c>
      <c r="C183" s="99" t="s">
        <v>170</v>
      </c>
      <c r="D183" s="100"/>
      <c r="E183" s="101"/>
      <c r="F183" s="99" t="s">
        <v>16</v>
      </c>
      <c r="G183" s="99" t="s">
        <v>18</v>
      </c>
      <c r="H183" s="102" t="s">
        <v>17</v>
      </c>
      <c r="I183" s="103"/>
      <c r="J183" s="104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105"/>
      <c r="B184" s="54" t="s">
        <v>19</v>
      </c>
      <c r="C184" s="76"/>
      <c r="D184" s="100"/>
      <c r="E184" s="101"/>
      <c r="F184" s="59">
        <f>G21</f>
        <v>545.5</v>
      </c>
      <c r="G184" s="59">
        <f t="shared" ref="G184:G195" si="37">H184-F184</f>
        <v>54.55</v>
      </c>
      <c r="H184" s="106">
        <f>H21</f>
        <v>600.05</v>
      </c>
      <c r="I184" s="103"/>
      <c r="J184" s="104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105"/>
      <c r="B185" s="54" t="s">
        <v>26</v>
      </c>
      <c r="C185" s="76"/>
      <c r="D185" s="100"/>
      <c r="E185" s="101"/>
      <c r="F185" s="59">
        <f>G27</f>
        <v>1748</v>
      </c>
      <c r="G185" s="59">
        <f t="shared" si="37"/>
        <v>174.8</v>
      </c>
      <c r="H185" s="106">
        <f>H27</f>
        <v>1922.8</v>
      </c>
      <c r="I185" s="103"/>
      <c r="J185" s="104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105"/>
      <c r="B186" s="54" t="s">
        <v>171</v>
      </c>
      <c r="C186" s="76"/>
      <c r="D186" s="100"/>
      <c r="E186" s="101"/>
      <c r="F186" s="59">
        <f>G36</f>
        <v>254.3</v>
      </c>
      <c r="G186" s="59">
        <f t="shared" si="37"/>
        <v>25.43</v>
      </c>
      <c r="H186" s="106">
        <f>H36</f>
        <v>279.73</v>
      </c>
      <c r="I186" s="103"/>
      <c r="J186" s="104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105"/>
      <c r="B187" s="54" t="s">
        <v>40</v>
      </c>
      <c r="C187" s="76"/>
      <c r="D187" s="100"/>
      <c r="E187" s="101"/>
      <c r="F187" s="59">
        <f>G63</f>
        <v>10626.8</v>
      </c>
      <c r="G187" s="59">
        <f t="shared" si="37"/>
        <v>1062.68</v>
      </c>
      <c r="H187" s="106">
        <f>H63</f>
        <v>11689.48</v>
      </c>
      <c r="I187" s="103"/>
      <c r="J187" s="104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105"/>
      <c r="B188" s="54" t="s">
        <v>66</v>
      </c>
      <c r="C188" s="76"/>
      <c r="D188" s="100"/>
      <c r="E188" s="101"/>
      <c r="F188" s="59">
        <f>G83</f>
        <v>58232</v>
      </c>
      <c r="G188" s="59">
        <f t="shared" si="37"/>
        <v>5823.2</v>
      </c>
      <c r="H188" s="106">
        <f>H83</f>
        <v>64055.2</v>
      </c>
      <c r="I188" s="103"/>
      <c r="J188" s="104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105"/>
      <c r="B189" s="54" t="s">
        <v>85</v>
      </c>
      <c r="C189" s="76"/>
      <c r="D189" s="100"/>
      <c r="E189" s="101"/>
      <c r="F189" s="59">
        <f>G97</f>
        <v>3221</v>
      </c>
      <c r="G189" s="59">
        <f t="shared" si="37"/>
        <v>322.1</v>
      </c>
      <c r="H189" s="106">
        <f>H97</f>
        <v>3543.1</v>
      </c>
      <c r="I189" s="103"/>
      <c r="J189" s="104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105"/>
      <c r="B190" s="54" t="s">
        <v>98</v>
      </c>
      <c r="C190" s="76"/>
      <c r="D190" s="100"/>
      <c r="E190" s="101"/>
      <c r="F190" s="59">
        <f>G116</f>
        <v>9806</v>
      </c>
      <c r="G190" s="59">
        <f t="shared" si="37"/>
        <v>980.6</v>
      </c>
      <c r="H190" s="106">
        <f>H116</f>
        <v>10786.6</v>
      </c>
      <c r="I190" s="103"/>
      <c r="J190" s="104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105"/>
      <c r="B191" s="54" t="s">
        <v>116</v>
      </c>
      <c r="C191" s="76"/>
      <c r="D191" s="100"/>
      <c r="E191" s="101"/>
      <c r="F191" s="59">
        <f>G141</f>
        <v>537</v>
      </c>
      <c r="G191" s="59">
        <f t="shared" si="37"/>
        <v>53.7</v>
      </c>
      <c r="H191" s="106">
        <f>H141</f>
        <v>590.7</v>
      </c>
      <c r="I191" s="103"/>
      <c r="J191" s="104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105"/>
      <c r="B192" s="54" t="s">
        <v>137</v>
      </c>
      <c r="C192" s="76"/>
      <c r="D192" s="100"/>
      <c r="E192" s="101"/>
      <c r="F192" s="59">
        <f>G149</f>
        <v>1163</v>
      </c>
      <c r="G192" s="59">
        <f t="shared" si="37"/>
        <v>116.3</v>
      </c>
      <c r="H192" s="106">
        <f>H149</f>
        <v>1279.3</v>
      </c>
      <c r="I192" s="103"/>
      <c r="J192" s="104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105"/>
      <c r="B193" s="54" t="s">
        <v>144</v>
      </c>
      <c r="C193" s="76"/>
      <c r="D193" s="100"/>
      <c r="E193" s="101"/>
      <c r="F193" s="59">
        <f>G158</f>
        <v>5883</v>
      </c>
      <c r="G193" s="59">
        <f t="shared" si="37"/>
        <v>588.3</v>
      </c>
      <c r="H193" s="106">
        <f>H158</f>
        <v>6471.3</v>
      </c>
      <c r="I193" s="103"/>
      <c r="J193" s="104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105"/>
      <c r="B194" s="54" t="s">
        <v>152</v>
      </c>
      <c r="C194" s="76"/>
      <c r="D194" s="100"/>
      <c r="E194" s="101"/>
      <c r="F194" s="59">
        <f>G166</f>
        <v>13166</v>
      </c>
      <c r="G194" s="59">
        <f t="shared" si="37"/>
        <v>2580.2</v>
      </c>
      <c r="H194" s="106">
        <f>H166</f>
        <v>15746.2</v>
      </c>
      <c r="I194" s="103"/>
      <c r="J194" s="104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105"/>
      <c r="B195" s="54" t="s">
        <v>159</v>
      </c>
      <c r="C195" s="76"/>
      <c r="D195" s="100"/>
      <c r="E195" s="101"/>
      <c r="F195" s="59">
        <f>G176</f>
        <v>8344</v>
      </c>
      <c r="G195" s="59">
        <f t="shared" si="37"/>
        <v>834.4</v>
      </c>
      <c r="H195" s="106">
        <f>H176</f>
        <v>9178.4</v>
      </c>
      <c r="I195" s="103"/>
      <c r="J195" s="104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1"/>
      <c r="B196" s="107"/>
      <c r="C196" s="107"/>
      <c r="D196" s="108"/>
      <c r="E196" s="108"/>
      <c r="F196" s="109"/>
      <c r="G196" s="109"/>
      <c r="H196" s="110"/>
      <c r="I196" s="111"/>
      <c r="J196" s="112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1"/>
      <c r="B197" s="113"/>
      <c r="C197" s="113"/>
      <c r="D197" s="108"/>
      <c r="E197" s="108"/>
      <c r="F197" s="93"/>
      <c r="G197" s="93"/>
      <c r="H197" s="91"/>
      <c r="I197" s="92"/>
      <c r="J197" s="112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114"/>
      <c r="B198" s="54" t="s">
        <v>172</v>
      </c>
      <c r="C198" s="76">
        <v>100000.0</v>
      </c>
      <c r="D198" s="100"/>
      <c r="E198" s="115"/>
      <c r="F198" s="116" t="s">
        <v>173</v>
      </c>
      <c r="G198" s="117"/>
      <c r="H198" s="117"/>
      <c r="I198" s="118"/>
      <c r="J198" s="119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0" customHeight="1">
      <c r="A199" s="114"/>
      <c r="B199" s="54" t="s">
        <v>174</v>
      </c>
      <c r="C199" s="59">
        <f>H200-C198</f>
        <v>26142.86</v>
      </c>
      <c r="D199" s="100"/>
      <c r="E199" s="115"/>
      <c r="F199" s="120" t="s">
        <v>16</v>
      </c>
      <c r="G199" s="121" t="s">
        <v>18</v>
      </c>
      <c r="H199" s="122" t="s">
        <v>17</v>
      </c>
      <c r="I199" s="123"/>
      <c r="J199" s="119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114"/>
      <c r="B200" s="54" t="s">
        <v>175</v>
      </c>
      <c r="C200" s="76"/>
      <c r="D200" s="100"/>
      <c r="E200" s="115"/>
      <c r="F200" s="124">
        <f>SUM(F184:F195)</f>
        <v>113526.6</v>
      </c>
      <c r="G200" s="125">
        <f>H200-F200</f>
        <v>12616.26</v>
      </c>
      <c r="H200" s="126">
        <f>SUM(H184:I195)</f>
        <v>126142.86</v>
      </c>
      <c r="I200" s="127"/>
      <c r="J200" s="119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71"/>
      <c r="B201" s="128"/>
      <c r="C201" s="128"/>
      <c r="D201" s="129"/>
      <c r="E201" s="129"/>
      <c r="F201" s="130"/>
      <c r="G201" s="131"/>
      <c r="H201" s="132"/>
      <c r="I201" s="133"/>
      <c r="J201" s="134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70">
    <mergeCell ref="B161:B165"/>
    <mergeCell ref="B166:F166"/>
    <mergeCell ref="A144:A148"/>
    <mergeCell ref="B144:B148"/>
    <mergeCell ref="B149:F149"/>
    <mergeCell ref="A152:A156"/>
    <mergeCell ref="B152:B157"/>
    <mergeCell ref="B158:F158"/>
    <mergeCell ref="A161:A165"/>
    <mergeCell ref="A169:A173"/>
    <mergeCell ref="B169:B175"/>
    <mergeCell ref="B176:F176"/>
    <mergeCell ref="B181:I181"/>
    <mergeCell ref="H183:I183"/>
    <mergeCell ref="H184:I184"/>
    <mergeCell ref="H185:I185"/>
    <mergeCell ref="H193:I193"/>
    <mergeCell ref="H194:I194"/>
    <mergeCell ref="H195:I195"/>
    <mergeCell ref="F198:I198"/>
    <mergeCell ref="H199:I199"/>
    <mergeCell ref="H200:I200"/>
    <mergeCell ref="H186:I186"/>
    <mergeCell ref="H187:I187"/>
    <mergeCell ref="H188:I188"/>
    <mergeCell ref="H189:I189"/>
    <mergeCell ref="H190:I190"/>
    <mergeCell ref="H191:I191"/>
    <mergeCell ref="H192:I192"/>
    <mergeCell ref="B1:I1"/>
    <mergeCell ref="B2:I2"/>
    <mergeCell ref="B3:I3"/>
    <mergeCell ref="B4:I4"/>
    <mergeCell ref="B5:I5"/>
    <mergeCell ref="B7:I8"/>
    <mergeCell ref="B9:I9"/>
    <mergeCell ref="B10:I10"/>
    <mergeCell ref="B11:C11"/>
    <mergeCell ref="D11:I11"/>
    <mergeCell ref="B12:C12"/>
    <mergeCell ref="D12:I12"/>
    <mergeCell ref="B13:C13"/>
    <mergeCell ref="D13:I13"/>
    <mergeCell ref="B14:I14"/>
    <mergeCell ref="B15:I15"/>
    <mergeCell ref="B16:I16"/>
    <mergeCell ref="A18:A20"/>
    <mergeCell ref="B18:B20"/>
    <mergeCell ref="B21:F21"/>
    <mergeCell ref="A24:A26"/>
    <mergeCell ref="B83:F83"/>
    <mergeCell ref="B97:F97"/>
    <mergeCell ref="B116:F116"/>
    <mergeCell ref="B141:F141"/>
    <mergeCell ref="B24:B26"/>
    <mergeCell ref="B27:F27"/>
    <mergeCell ref="A30:A35"/>
    <mergeCell ref="B30:B35"/>
    <mergeCell ref="B36:F36"/>
    <mergeCell ref="B39:B62"/>
    <mergeCell ref="B63:F63"/>
    <mergeCell ref="B100:B115"/>
    <mergeCell ref="B119:B140"/>
    <mergeCell ref="A39:A44"/>
    <mergeCell ref="A66:A71"/>
    <mergeCell ref="B66:B82"/>
    <mergeCell ref="A86:A93"/>
    <mergeCell ref="B86:B96"/>
    <mergeCell ref="A100:A105"/>
    <mergeCell ref="A119:A125"/>
  </mergeCells>
  <hyperlinks>
    <hyperlink r:id="rId1" ref="B5"/>
  </hyperlinks>
  <printOptions/>
  <pageMargins bottom="0.0" footer="0.0" header="0.0" left="0.25" right="0.0" top="0.0"/>
  <pageSetup scale="54" orientation="portrait"/>
  <headerFooter>
    <oddFooter>&amp;C000000&amp;P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5"/>
    <col customWidth="1" min="2" max="2" width="26.5"/>
    <col customWidth="1" min="3" max="3" width="76.0"/>
    <col customWidth="1" min="4" max="4" width="11.38"/>
    <col customWidth="1" min="5" max="5" width="6.88"/>
    <col customWidth="1" min="6" max="6" width="11.38"/>
    <col customWidth="1" min="7" max="7" width="11.63"/>
    <col customWidth="1" min="8" max="9" width="11.38"/>
    <col customWidth="1" min="10" max="10" width="3.88"/>
    <col customWidth="1" min="11" max="26" width="11.38"/>
  </cols>
  <sheetData>
    <row r="1" ht="13.5" customHeight="1">
      <c r="A1" s="1"/>
      <c r="B1" s="2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135"/>
      <c r="B2" s="7"/>
      <c r="C2" s="8"/>
      <c r="D2" s="8"/>
      <c r="E2" s="8"/>
      <c r="F2" s="8"/>
      <c r="G2" s="8"/>
      <c r="H2" s="8"/>
      <c r="I2" s="9"/>
      <c r="J2" s="119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4.25" customHeight="1">
      <c r="A3" s="135"/>
      <c r="B3" s="14" t="s">
        <v>0</v>
      </c>
      <c r="C3" s="15"/>
      <c r="D3" s="15"/>
      <c r="E3" s="15"/>
      <c r="F3" s="15"/>
      <c r="G3" s="15"/>
      <c r="H3" s="15"/>
      <c r="I3" s="16"/>
      <c r="J3" s="136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35"/>
      <c r="B4" s="14" t="s">
        <v>1</v>
      </c>
      <c r="C4" s="15"/>
      <c r="D4" s="15"/>
      <c r="E4" s="15"/>
      <c r="F4" s="15"/>
      <c r="G4" s="15"/>
      <c r="H4" s="15"/>
      <c r="I4" s="16"/>
      <c r="J4" s="13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35"/>
      <c r="B5" s="17" t="s">
        <v>176</v>
      </c>
      <c r="C5" s="15"/>
      <c r="D5" s="15"/>
      <c r="E5" s="15"/>
      <c r="F5" s="15"/>
      <c r="G5" s="15"/>
      <c r="H5" s="15"/>
      <c r="I5" s="16"/>
      <c r="J5" s="137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135"/>
      <c r="B6" s="19"/>
      <c r="C6" s="20"/>
      <c r="D6" s="20"/>
      <c r="E6" s="20"/>
      <c r="F6" s="21"/>
      <c r="G6" s="22"/>
      <c r="H6" s="23"/>
      <c r="I6" s="24"/>
      <c r="J6" s="138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25"/>
      <c r="B7" s="26"/>
      <c r="C7" s="27"/>
      <c r="D7" s="27"/>
      <c r="E7" s="27"/>
      <c r="F7" s="27"/>
      <c r="G7" s="27"/>
      <c r="H7" s="27"/>
      <c r="I7" s="27"/>
      <c r="J7" s="28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6.5" customHeight="1">
      <c r="A8" s="25"/>
      <c r="B8" s="29"/>
      <c r="C8" s="30"/>
      <c r="D8" s="30"/>
      <c r="E8" s="30"/>
      <c r="F8" s="30"/>
      <c r="G8" s="30"/>
      <c r="H8" s="30"/>
      <c r="I8" s="30"/>
      <c r="J8" s="31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32"/>
      <c r="B9" s="33" t="s">
        <v>3</v>
      </c>
      <c r="C9" s="34"/>
      <c r="D9" s="34"/>
      <c r="E9" s="34"/>
      <c r="F9" s="34"/>
      <c r="G9" s="34"/>
      <c r="H9" s="34"/>
      <c r="I9" s="35"/>
      <c r="J9" s="10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36"/>
      <c r="B10" s="37"/>
      <c r="C10" s="8"/>
      <c r="D10" s="8"/>
      <c r="E10" s="8"/>
      <c r="F10" s="8"/>
      <c r="G10" s="8"/>
      <c r="H10" s="8"/>
      <c r="I10" s="8"/>
      <c r="J10" s="31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38"/>
      <c r="B11" s="139" t="s">
        <v>177</v>
      </c>
      <c r="C11" s="140"/>
      <c r="D11" s="140"/>
      <c r="E11" s="140"/>
      <c r="F11" s="140"/>
      <c r="G11" s="140"/>
      <c r="H11" s="140"/>
      <c r="I11" s="140"/>
      <c r="J11" s="31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38"/>
      <c r="B12" s="141"/>
      <c r="J12" s="31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customHeight="1">
      <c r="A13" s="38"/>
      <c r="B13" s="141"/>
      <c r="J13" s="31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38"/>
      <c r="B14" s="141"/>
      <c r="J14" s="31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40"/>
      <c r="B15" s="41"/>
      <c r="C15" s="42"/>
      <c r="D15" s="42"/>
      <c r="E15" s="42"/>
      <c r="F15" s="42"/>
      <c r="G15" s="42"/>
      <c r="H15" s="42"/>
      <c r="I15" s="42"/>
      <c r="J15" s="43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32"/>
      <c r="B16" s="33" t="s">
        <v>10</v>
      </c>
      <c r="C16" s="34"/>
      <c r="D16" s="34"/>
      <c r="E16" s="34"/>
      <c r="F16" s="34"/>
      <c r="G16" s="34"/>
      <c r="H16" s="34"/>
      <c r="I16" s="35"/>
      <c r="J16" s="44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36"/>
      <c r="B17" s="45"/>
      <c r="C17" s="34"/>
      <c r="D17" s="34"/>
      <c r="E17" s="34"/>
      <c r="F17" s="34"/>
      <c r="G17" s="34"/>
      <c r="H17" s="34"/>
      <c r="I17" s="34"/>
      <c r="J17" s="43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4.25" customHeight="1">
      <c r="A18" s="46"/>
      <c r="B18" s="47" t="s">
        <v>11</v>
      </c>
      <c r="C18" s="142" t="s">
        <v>178</v>
      </c>
      <c r="D18" s="117"/>
      <c r="E18" s="117"/>
      <c r="F18" s="117"/>
      <c r="G18" s="117"/>
      <c r="H18" s="117"/>
      <c r="I18" s="118"/>
      <c r="J18" s="51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52"/>
      <c r="B19" s="53" t="s">
        <v>19</v>
      </c>
      <c r="C19" s="143" t="s">
        <v>179</v>
      </c>
      <c r="D19" s="144"/>
      <c r="E19" s="144"/>
      <c r="F19" s="144"/>
      <c r="G19" s="144"/>
      <c r="H19" s="144"/>
      <c r="I19" s="145"/>
      <c r="J19" s="51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61"/>
      <c r="B20" s="62"/>
      <c r="C20" s="146"/>
      <c r="I20" s="13"/>
      <c r="J20" s="51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61"/>
      <c r="B21" s="63"/>
      <c r="C21" s="147"/>
      <c r="D21" s="148"/>
      <c r="E21" s="148"/>
      <c r="F21" s="148"/>
      <c r="G21" s="148"/>
      <c r="H21" s="148"/>
      <c r="I21" s="149"/>
      <c r="J21" s="51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64"/>
      <c r="B22" s="150"/>
      <c r="C22" s="66"/>
      <c r="D22" s="66"/>
      <c r="E22" s="66"/>
      <c r="F22" s="66"/>
      <c r="G22" s="66"/>
      <c r="H22" s="66"/>
      <c r="I22" s="127"/>
      <c r="J22" s="51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71"/>
      <c r="B23" s="72"/>
      <c r="C23" s="72"/>
      <c r="D23" s="72"/>
      <c r="E23" s="72"/>
      <c r="F23" s="72"/>
      <c r="G23" s="73"/>
      <c r="H23" s="73"/>
      <c r="I23" s="74"/>
      <c r="J23" s="7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4.25" customHeight="1">
      <c r="A24" s="46"/>
      <c r="B24" s="47" t="s">
        <v>11</v>
      </c>
      <c r="C24" s="142" t="s">
        <v>180</v>
      </c>
      <c r="D24" s="117"/>
      <c r="E24" s="117"/>
      <c r="F24" s="117"/>
      <c r="G24" s="117"/>
      <c r="H24" s="117"/>
      <c r="I24" s="118"/>
      <c r="J24" s="51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4.25" customHeight="1">
      <c r="A25" s="52"/>
      <c r="B25" s="78" t="s">
        <v>26</v>
      </c>
      <c r="C25" s="143" t="s">
        <v>181</v>
      </c>
      <c r="D25" s="144"/>
      <c r="E25" s="144"/>
      <c r="F25" s="144"/>
      <c r="G25" s="144"/>
      <c r="H25" s="144"/>
      <c r="I25" s="145"/>
      <c r="J25" s="51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4.25" customHeight="1">
      <c r="A26" s="61"/>
      <c r="B26" s="62"/>
      <c r="C26" s="146"/>
      <c r="I26" s="13"/>
      <c r="J26" s="51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4.25" customHeight="1">
      <c r="A27" s="61"/>
      <c r="B27" s="63"/>
      <c r="C27" s="147"/>
      <c r="D27" s="148"/>
      <c r="E27" s="148"/>
      <c r="F27" s="148"/>
      <c r="G27" s="148"/>
      <c r="H27" s="148"/>
      <c r="I27" s="149"/>
      <c r="J27" s="51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4.25" customHeight="1">
      <c r="A28" s="64"/>
      <c r="B28" s="150"/>
      <c r="C28" s="66"/>
      <c r="D28" s="66"/>
      <c r="E28" s="66"/>
      <c r="F28" s="66"/>
      <c r="G28" s="66"/>
      <c r="H28" s="66"/>
      <c r="I28" s="127"/>
      <c r="J28" s="51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71"/>
      <c r="B29" s="72"/>
      <c r="C29" s="72"/>
      <c r="D29" s="72"/>
      <c r="E29" s="72"/>
      <c r="F29" s="72"/>
      <c r="G29" s="73"/>
      <c r="H29" s="73"/>
      <c r="I29" s="74"/>
      <c r="J29" s="7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4.25" customHeight="1">
      <c r="A30" s="46"/>
      <c r="B30" s="47" t="s">
        <v>11</v>
      </c>
      <c r="C30" s="142" t="s">
        <v>182</v>
      </c>
      <c r="D30" s="117"/>
      <c r="E30" s="117"/>
      <c r="F30" s="117"/>
      <c r="G30" s="117"/>
      <c r="H30" s="117"/>
      <c r="I30" s="118"/>
      <c r="J30" s="51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4.25" customHeight="1">
      <c r="A31" s="52"/>
      <c r="B31" s="78" t="s">
        <v>32</v>
      </c>
      <c r="C31" s="151" t="s">
        <v>183</v>
      </c>
      <c r="D31" s="144"/>
      <c r="E31" s="144"/>
      <c r="F31" s="144"/>
      <c r="G31" s="144"/>
      <c r="H31" s="144"/>
      <c r="I31" s="145"/>
      <c r="J31" s="51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4.25" customHeight="1">
      <c r="A32" s="61"/>
      <c r="B32" s="62"/>
      <c r="C32" s="146"/>
      <c r="I32" s="13"/>
      <c r="J32" s="51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4.25" customHeight="1">
      <c r="A33" s="61"/>
      <c r="B33" s="62"/>
      <c r="C33" s="146"/>
      <c r="I33" s="13"/>
      <c r="J33" s="51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4.25" customHeight="1">
      <c r="A34" s="61"/>
      <c r="B34" s="62"/>
      <c r="C34" s="146"/>
      <c r="I34" s="13"/>
      <c r="J34" s="51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4.25" customHeight="1">
      <c r="A35" s="61"/>
      <c r="B35" s="63"/>
      <c r="C35" s="147"/>
      <c r="D35" s="148"/>
      <c r="E35" s="148"/>
      <c r="F35" s="148"/>
      <c r="G35" s="148"/>
      <c r="H35" s="148"/>
      <c r="I35" s="149"/>
      <c r="J35" s="51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4.25" customHeight="1">
      <c r="A36" s="64"/>
      <c r="B36" s="150"/>
      <c r="C36" s="66"/>
      <c r="D36" s="66"/>
      <c r="E36" s="66"/>
      <c r="F36" s="66"/>
      <c r="G36" s="66"/>
      <c r="H36" s="66"/>
      <c r="I36" s="127"/>
      <c r="J36" s="51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71"/>
      <c r="B37" s="72"/>
      <c r="C37" s="72"/>
      <c r="D37" s="72"/>
      <c r="E37" s="72"/>
      <c r="F37" s="72"/>
      <c r="G37" s="73"/>
      <c r="H37" s="73"/>
      <c r="I37" s="74"/>
      <c r="J37" s="7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4.25" customHeight="1">
      <c r="A38" s="46"/>
      <c r="B38" s="47" t="s">
        <v>11</v>
      </c>
      <c r="C38" s="142" t="s">
        <v>184</v>
      </c>
      <c r="D38" s="117"/>
      <c r="E38" s="117"/>
      <c r="F38" s="117"/>
      <c r="G38" s="117"/>
      <c r="H38" s="117"/>
      <c r="I38" s="118"/>
      <c r="J38" s="51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4.25" customHeight="1">
      <c r="A39" s="52"/>
      <c r="B39" s="78" t="s">
        <v>40</v>
      </c>
      <c r="C39" s="151" t="s">
        <v>185</v>
      </c>
      <c r="D39" s="144"/>
      <c r="E39" s="144"/>
      <c r="F39" s="144"/>
      <c r="G39" s="144"/>
      <c r="H39" s="144"/>
      <c r="I39" s="145"/>
      <c r="J39" s="51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4.25" customHeight="1">
      <c r="A40" s="61"/>
      <c r="B40" s="62"/>
      <c r="C40" s="146"/>
      <c r="I40" s="13"/>
      <c r="J40" s="51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4.25" customHeight="1">
      <c r="A41" s="61"/>
      <c r="B41" s="62"/>
      <c r="C41" s="146"/>
      <c r="I41" s="13"/>
      <c r="J41" s="51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.25" customHeight="1">
      <c r="A42" s="61"/>
      <c r="B42" s="62"/>
      <c r="C42" s="146"/>
      <c r="I42" s="13"/>
      <c r="J42" s="51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4.25" customHeight="1">
      <c r="A43" s="61"/>
      <c r="B43" s="62"/>
      <c r="C43" s="146"/>
      <c r="I43" s="13"/>
      <c r="J43" s="51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4.25" customHeight="1">
      <c r="A44" s="61"/>
      <c r="B44" s="62"/>
      <c r="C44" s="146"/>
      <c r="I44" s="13"/>
      <c r="J44" s="51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4.25" customHeight="1">
      <c r="A45" s="61"/>
      <c r="B45" s="62"/>
      <c r="C45" s="146"/>
      <c r="I45" s="13"/>
      <c r="J45" s="51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4.25" customHeight="1">
      <c r="A46" s="61"/>
      <c r="B46" s="62"/>
      <c r="C46" s="146"/>
      <c r="I46" s="13"/>
      <c r="J46" s="51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4.25" customHeight="1">
      <c r="A47" s="61"/>
      <c r="B47" s="63"/>
      <c r="C47" s="147"/>
      <c r="D47" s="148"/>
      <c r="E47" s="148"/>
      <c r="F47" s="148"/>
      <c r="G47" s="148"/>
      <c r="H47" s="148"/>
      <c r="I47" s="149"/>
      <c r="J47" s="51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4.25" customHeight="1">
      <c r="A48" s="64"/>
      <c r="B48" s="150"/>
      <c r="C48" s="66"/>
      <c r="D48" s="66"/>
      <c r="E48" s="66"/>
      <c r="F48" s="66"/>
      <c r="G48" s="66"/>
      <c r="H48" s="66"/>
      <c r="I48" s="127"/>
      <c r="J48" s="51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71"/>
      <c r="B49" s="72"/>
      <c r="C49" s="72"/>
      <c r="D49" s="72"/>
      <c r="E49" s="72"/>
      <c r="F49" s="72"/>
      <c r="G49" s="73"/>
      <c r="H49" s="73"/>
      <c r="I49" s="74"/>
      <c r="J49" s="7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4.25" customHeight="1">
      <c r="A50" s="46"/>
      <c r="B50" s="47" t="s">
        <v>11</v>
      </c>
      <c r="C50" s="142" t="s">
        <v>186</v>
      </c>
      <c r="D50" s="117"/>
      <c r="E50" s="117"/>
      <c r="F50" s="117"/>
      <c r="G50" s="117"/>
      <c r="H50" s="117"/>
      <c r="I50" s="118"/>
      <c r="J50" s="51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4.25" customHeight="1">
      <c r="A51" s="52"/>
      <c r="B51" s="78" t="s">
        <v>66</v>
      </c>
      <c r="C51" s="151" t="s">
        <v>187</v>
      </c>
      <c r="D51" s="144"/>
      <c r="E51" s="144"/>
      <c r="F51" s="144"/>
      <c r="G51" s="144"/>
      <c r="H51" s="144"/>
      <c r="I51" s="145"/>
      <c r="J51" s="51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4.25" customHeight="1">
      <c r="A52" s="61"/>
      <c r="B52" s="62"/>
      <c r="C52" s="146"/>
      <c r="I52" s="13"/>
      <c r="J52" s="51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4.25" customHeight="1">
      <c r="A53" s="61"/>
      <c r="B53" s="62"/>
      <c r="C53" s="146"/>
      <c r="I53" s="13"/>
      <c r="J53" s="51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4.25" customHeight="1">
      <c r="A54" s="61"/>
      <c r="B54" s="62"/>
      <c r="C54" s="146"/>
      <c r="I54" s="13"/>
      <c r="J54" s="51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4.25" customHeight="1">
      <c r="A55" s="61"/>
      <c r="B55" s="62"/>
      <c r="C55" s="146"/>
      <c r="I55" s="13"/>
      <c r="J55" s="51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4.25" customHeight="1">
      <c r="A56" s="61"/>
      <c r="B56" s="62"/>
      <c r="C56" s="146"/>
      <c r="I56" s="13"/>
      <c r="J56" s="51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4.25" customHeight="1">
      <c r="A57" s="61"/>
      <c r="B57" s="62"/>
      <c r="C57" s="146"/>
      <c r="I57" s="13"/>
      <c r="J57" s="51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4.25" customHeight="1">
      <c r="A58" s="61"/>
      <c r="B58" s="63"/>
      <c r="C58" s="147"/>
      <c r="D58" s="148"/>
      <c r="E58" s="148"/>
      <c r="F58" s="148"/>
      <c r="G58" s="148"/>
      <c r="H58" s="148"/>
      <c r="I58" s="149"/>
      <c r="J58" s="51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4.25" customHeight="1">
      <c r="A59" s="64"/>
      <c r="B59" s="150"/>
      <c r="C59" s="66"/>
      <c r="D59" s="66"/>
      <c r="E59" s="66"/>
      <c r="F59" s="66"/>
      <c r="G59" s="66"/>
      <c r="H59" s="66"/>
      <c r="I59" s="127"/>
      <c r="J59" s="51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0" customHeight="1">
      <c r="A60" s="71"/>
      <c r="B60" s="72"/>
      <c r="C60" s="72"/>
      <c r="D60" s="72"/>
      <c r="E60" s="72"/>
      <c r="F60" s="72"/>
      <c r="G60" s="73"/>
      <c r="H60" s="73"/>
      <c r="I60" s="74"/>
      <c r="J60" s="7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0" customHeight="1">
      <c r="A61" s="46"/>
      <c r="B61" s="47" t="s">
        <v>11</v>
      </c>
      <c r="C61" s="142" t="s">
        <v>188</v>
      </c>
      <c r="D61" s="117"/>
      <c r="E61" s="117"/>
      <c r="F61" s="117"/>
      <c r="G61" s="117"/>
      <c r="H61" s="117"/>
      <c r="I61" s="118"/>
      <c r="J61" s="51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0" customHeight="1">
      <c r="A62" s="52"/>
      <c r="B62" s="53" t="s">
        <v>85</v>
      </c>
      <c r="C62" s="151" t="s">
        <v>189</v>
      </c>
      <c r="D62" s="144"/>
      <c r="E62" s="144"/>
      <c r="F62" s="144"/>
      <c r="G62" s="144"/>
      <c r="H62" s="144"/>
      <c r="I62" s="145"/>
      <c r="J62" s="51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0" customHeight="1">
      <c r="A63" s="61"/>
      <c r="B63" s="62"/>
      <c r="C63" s="146"/>
      <c r="I63" s="13"/>
      <c r="J63" s="51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0" customHeight="1">
      <c r="A64" s="61"/>
      <c r="B64" s="62"/>
      <c r="C64" s="146"/>
      <c r="I64" s="13"/>
      <c r="J64" s="51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0" customHeight="1">
      <c r="A65" s="61"/>
      <c r="B65" s="62"/>
      <c r="C65" s="146"/>
      <c r="I65" s="13"/>
      <c r="J65" s="51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0" customHeight="1">
      <c r="A66" s="61"/>
      <c r="B66" s="63"/>
      <c r="C66" s="147"/>
      <c r="D66" s="148"/>
      <c r="E66" s="148"/>
      <c r="F66" s="148"/>
      <c r="G66" s="148"/>
      <c r="H66" s="148"/>
      <c r="I66" s="149"/>
      <c r="J66" s="51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0" customHeight="1">
      <c r="A67" s="64"/>
      <c r="B67" s="150"/>
      <c r="C67" s="66"/>
      <c r="D67" s="66"/>
      <c r="E67" s="66"/>
      <c r="F67" s="66"/>
      <c r="G67" s="66"/>
      <c r="H67" s="66"/>
      <c r="I67" s="127"/>
      <c r="J67" s="51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0" customHeight="1">
      <c r="A68" s="71"/>
      <c r="B68" s="72"/>
      <c r="C68" s="72"/>
      <c r="D68" s="72"/>
      <c r="E68" s="72"/>
      <c r="F68" s="72"/>
      <c r="G68" s="73"/>
      <c r="H68" s="73"/>
      <c r="I68" s="74"/>
      <c r="J68" s="7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0" customHeight="1">
      <c r="A69" s="46"/>
      <c r="B69" s="47" t="s">
        <v>11</v>
      </c>
      <c r="C69" s="142" t="s">
        <v>190</v>
      </c>
      <c r="D69" s="117"/>
      <c r="E69" s="117"/>
      <c r="F69" s="117"/>
      <c r="G69" s="117"/>
      <c r="H69" s="117"/>
      <c r="I69" s="118"/>
      <c r="J69" s="5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0" customHeight="1">
      <c r="A70" s="52"/>
      <c r="B70" s="53" t="s">
        <v>98</v>
      </c>
      <c r="C70" s="152" t="s">
        <v>191</v>
      </c>
      <c r="D70" s="144"/>
      <c r="E70" s="144"/>
      <c r="F70" s="144"/>
      <c r="G70" s="144"/>
      <c r="H70" s="144"/>
      <c r="I70" s="145"/>
      <c r="J70" s="51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0" customHeight="1">
      <c r="A71" s="61"/>
      <c r="B71" s="62"/>
      <c r="C71" s="146"/>
      <c r="I71" s="13"/>
      <c r="J71" s="51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0" customHeight="1">
      <c r="A72" s="61"/>
      <c r="B72" s="63"/>
      <c r="C72" s="147"/>
      <c r="D72" s="148"/>
      <c r="E72" s="148"/>
      <c r="F72" s="148"/>
      <c r="G72" s="148"/>
      <c r="H72" s="148"/>
      <c r="I72" s="149"/>
      <c r="J72" s="51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0" customHeight="1">
      <c r="A73" s="64"/>
      <c r="B73" s="150"/>
      <c r="C73" s="66"/>
      <c r="D73" s="66"/>
      <c r="E73" s="66"/>
      <c r="F73" s="66"/>
      <c r="G73" s="66"/>
      <c r="H73" s="66"/>
      <c r="I73" s="127"/>
      <c r="J73" s="51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0" customHeight="1">
      <c r="A74" s="71"/>
      <c r="B74" s="72"/>
      <c r="C74" s="72"/>
      <c r="D74" s="72"/>
      <c r="E74" s="72"/>
      <c r="F74" s="72"/>
      <c r="G74" s="73"/>
      <c r="H74" s="73"/>
      <c r="I74" s="74"/>
      <c r="J74" s="7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0" customHeight="1">
      <c r="A75" s="46"/>
      <c r="B75" s="47" t="s">
        <v>11</v>
      </c>
      <c r="C75" s="142" t="s">
        <v>192</v>
      </c>
      <c r="D75" s="117"/>
      <c r="E75" s="117"/>
      <c r="F75" s="117"/>
      <c r="G75" s="117"/>
      <c r="H75" s="117"/>
      <c r="I75" s="118"/>
      <c r="J75" s="51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0" customHeight="1">
      <c r="A76" s="52"/>
      <c r="B76" s="53" t="s">
        <v>116</v>
      </c>
      <c r="C76" s="153" t="s">
        <v>193</v>
      </c>
      <c r="D76" s="144"/>
      <c r="E76" s="144"/>
      <c r="F76" s="144"/>
      <c r="G76" s="144"/>
      <c r="H76" s="144"/>
      <c r="I76" s="145"/>
      <c r="J76" s="51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0" customHeight="1">
      <c r="A77" s="61"/>
      <c r="B77" s="62"/>
      <c r="C77" s="146"/>
      <c r="I77" s="13"/>
      <c r="J77" s="51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0" customHeight="1">
      <c r="A78" s="61"/>
      <c r="B78" s="62"/>
      <c r="C78" s="146"/>
      <c r="I78" s="13"/>
      <c r="J78" s="51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0" customHeight="1">
      <c r="A79" s="61"/>
      <c r="B79" s="63"/>
      <c r="C79" s="147"/>
      <c r="D79" s="148"/>
      <c r="E79" s="148"/>
      <c r="F79" s="148"/>
      <c r="G79" s="148"/>
      <c r="H79" s="148"/>
      <c r="I79" s="149"/>
      <c r="J79" s="51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0" customHeight="1">
      <c r="A80" s="64"/>
      <c r="B80" s="150"/>
      <c r="C80" s="66"/>
      <c r="D80" s="66"/>
      <c r="E80" s="66"/>
      <c r="F80" s="66"/>
      <c r="G80" s="66"/>
      <c r="H80" s="66"/>
      <c r="I80" s="127"/>
      <c r="J80" s="51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0" customHeight="1">
      <c r="A81" s="71"/>
      <c r="B81" s="72"/>
      <c r="C81" s="72"/>
      <c r="D81" s="72"/>
      <c r="E81" s="72"/>
      <c r="F81" s="72"/>
      <c r="G81" s="73"/>
      <c r="H81" s="73"/>
      <c r="I81" s="74"/>
      <c r="J81" s="7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0" customHeight="1">
      <c r="A82" s="46"/>
      <c r="B82" s="47" t="s">
        <v>11</v>
      </c>
      <c r="C82" s="142" t="s">
        <v>194</v>
      </c>
      <c r="D82" s="117"/>
      <c r="E82" s="117"/>
      <c r="F82" s="117"/>
      <c r="G82" s="117"/>
      <c r="H82" s="117"/>
      <c r="I82" s="118"/>
      <c r="J82" s="51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0" customHeight="1">
      <c r="A83" s="52"/>
      <c r="B83" s="53" t="s">
        <v>137</v>
      </c>
      <c r="C83" s="151" t="s">
        <v>195</v>
      </c>
      <c r="D83" s="144"/>
      <c r="E83" s="144"/>
      <c r="F83" s="144"/>
      <c r="G83" s="144"/>
      <c r="H83" s="144"/>
      <c r="I83" s="145"/>
      <c r="J83" s="51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0" customHeight="1">
      <c r="A84" s="61"/>
      <c r="B84" s="62"/>
      <c r="C84" s="146"/>
      <c r="I84" s="13"/>
      <c r="J84" s="51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0" customHeight="1">
      <c r="A85" s="61"/>
      <c r="B85" s="62"/>
      <c r="C85" s="146"/>
      <c r="I85" s="13"/>
      <c r="J85" s="51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0" customHeight="1">
      <c r="A86" s="61"/>
      <c r="B86" s="62"/>
      <c r="C86" s="146"/>
      <c r="I86" s="13"/>
      <c r="J86" s="51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0" customHeight="1">
      <c r="A87" s="61"/>
      <c r="B87" s="62"/>
      <c r="C87" s="146"/>
      <c r="I87" s="13"/>
      <c r="J87" s="51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0" customHeight="1">
      <c r="A88" s="61"/>
      <c r="B88" s="63"/>
      <c r="C88" s="147"/>
      <c r="D88" s="148"/>
      <c r="E88" s="148"/>
      <c r="F88" s="148"/>
      <c r="G88" s="148"/>
      <c r="H88" s="148"/>
      <c r="I88" s="149"/>
      <c r="J88" s="51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0" customHeight="1">
      <c r="A89" s="64"/>
      <c r="B89" s="150"/>
      <c r="C89" s="66"/>
      <c r="D89" s="66"/>
      <c r="E89" s="66"/>
      <c r="F89" s="66"/>
      <c r="G89" s="66"/>
      <c r="H89" s="66"/>
      <c r="I89" s="127"/>
      <c r="J89" s="51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0" customHeight="1">
      <c r="A90" s="71"/>
      <c r="B90" s="72"/>
      <c r="C90" s="72"/>
      <c r="D90" s="72"/>
      <c r="E90" s="72"/>
      <c r="F90" s="72"/>
      <c r="G90" s="73"/>
      <c r="H90" s="73"/>
      <c r="I90" s="74"/>
      <c r="J90" s="7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0" customHeight="1">
      <c r="A91" s="46"/>
      <c r="B91" s="47" t="s">
        <v>11</v>
      </c>
      <c r="C91" s="142" t="s">
        <v>196</v>
      </c>
      <c r="D91" s="117"/>
      <c r="E91" s="117"/>
      <c r="F91" s="117"/>
      <c r="G91" s="117"/>
      <c r="H91" s="117"/>
      <c r="I91" s="118"/>
      <c r="J91" s="51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0" customHeight="1">
      <c r="A92" s="52"/>
      <c r="B92" s="53" t="s">
        <v>144</v>
      </c>
      <c r="C92" s="154" t="s">
        <v>197</v>
      </c>
      <c r="D92" s="144"/>
      <c r="E92" s="144"/>
      <c r="F92" s="144"/>
      <c r="G92" s="144"/>
      <c r="H92" s="144"/>
      <c r="I92" s="145"/>
      <c r="J92" s="51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0" customHeight="1">
      <c r="A93" s="61"/>
      <c r="B93" s="62"/>
      <c r="C93" s="146"/>
      <c r="I93" s="13"/>
      <c r="J93" s="51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0" customHeight="1">
      <c r="A94" s="61"/>
      <c r="B94" s="62"/>
      <c r="C94" s="146"/>
      <c r="I94" s="13"/>
      <c r="J94" s="51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0" customHeight="1">
      <c r="A95" s="61"/>
      <c r="B95" s="62"/>
      <c r="C95" s="146"/>
      <c r="I95" s="13"/>
      <c r="J95" s="51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0" customHeight="1">
      <c r="A96" s="61"/>
      <c r="B96" s="62"/>
      <c r="C96" s="146"/>
      <c r="I96" s="13"/>
      <c r="J96" s="51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0" customHeight="1">
      <c r="A97" s="61"/>
      <c r="B97" s="63"/>
      <c r="C97" s="147"/>
      <c r="D97" s="148"/>
      <c r="E97" s="148"/>
      <c r="F97" s="148"/>
      <c r="G97" s="148"/>
      <c r="H97" s="148"/>
      <c r="I97" s="149"/>
      <c r="J97" s="51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0" customHeight="1">
      <c r="A98" s="64"/>
      <c r="B98" s="150"/>
      <c r="C98" s="66"/>
      <c r="D98" s="66"/>
      <c r="E98" s="66"/>
      <c r="F98" s="66"/>
      <c r="G98" s="66"/>
      <c r="H98" s="66"/>
      <c r="I98" s="127"/>
      <c r="J98" s="51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71"/>
      <c r="B99" s="72"/>
      <c r="C99" s="72"/>
      <c r="D99" s="72"/>
      <c r="E99" s="72"/>
      <c r="F99" s="72"/>
      <c r="G99" s="73"/>
      <c r="H99" s="73"/>
      <c r="I99" s="74"/>
      <c r="J99" s="7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0" customHeight="1">
      <c r="A100" s="46"/>
      <c r="B100" s="47" t="s">
        <v>11</v>
      </c>
      <c r="C100" s="142" t="s">
        <v>198</v>
      </c>
      <c r="D100" s="117"/>
      <c r="E100" s="117"/>
      <c r="F100" s="117"/>
      <c r="G100" s="117"/>
      <c r="H100" s="117"/>
      <c r="I100" s="118"/>
      <c r="J100" s="51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52"/>
      <c r="B101" s="53" t="s">
        <v>152</v>
      </c>
      <c r="C101" s="143" t="s">
        <v>199</v>
      </c>
      <c r="D101" s="144"/>
      <c r="E101" s="144"/>
      <c r="F101" s="144"/>
      <c r="G101" s="144"/>
      <c r="H101" s="144"/>
      <c r="I101" s="145"/>
      <c r="J101" s="51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61"/>
      <c r="B102" s="62"/>
      <c r="C102" s="146"/>
      <c r="I102" s="13"/>
      <c r="J102" s="51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61"/>
      <c r="B103" s="62"/>
      <c r="C103" s="146"/>
      <c r="I103" s="13"/>
      <c r="J103" s="51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61"/>
      <c r="B104" s="62"/>
      <c r="C104" s="146"/>
      <c r="I104" s="13"/>
      <c r="J104" s="51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61"/>
      <c r="B105" s="62"/>
      <c r="C105" s="146"/>
      <c r="I105" s="13"/>
      <c r="J105" s="51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61"/>
      <c r="B106" s="63"/>
      <c r="C106" s="147"/>
      <c r="D106" s="148"/>
      <c r="E106" s="148"/>
      <c r="F106" s="148"/>
      <c r="G106" s="148"/>
      <c r="H106" s="148"/>
      <c r="I106" s="149"/>
      <c r="J106" s="51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64"/>
      <c r="B107" s="150"/>
      <c r="C107" s="66"/>
      <c r="D107" s="66"/>
      <c r="E107" s="66"/>
      <c r="F107" s="66"/>
      <c r="G107" s="66"/>
      <c r="H107" s="66"/>
      <c r="I107" s="127"/>
      <c r="J107" s="51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0" customHeight="1">
      <c r="A108" s="71"/>
      <c r="B108" s="72"/>
      <c r="C108" s="72"/>
      <c r="D108" s="72"/>
      <c r="E108" s="72"/>
      <c r="F108" s="72"/>
      <c r="G108" s="73"/>
      <c r="H108" s="73"/>
      <c r="I108" s="74"/>
      <c r="J108" s="7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4.25" customHeight="1">
      <c r="A109" s="46"/>
      <c r="B109" s="47" t="s">
        <v>11</v>
      </c>
      <c r="C109" s="142" t="s">
        <v>200</v>
      </c>
      <c r="D109" s="117"/>
      <c r="E109" s="117"/>
      <c r="F109" s="117"/>
      <c r="G109" s="117"/>
      <c r="H109" s="117"/>
      <c r="I109" s="118"/>
      <c r="J109" s="51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4.25" customHeight="1">
      <c r="A110" s="52"/>
      <c r="B110" s="53" t="s">
        <v>159</v>
      </c>
      <c r="C110" s="151" t="s">
        <v>201</v>
      </c>
      <c r="D110" s="144"/>
      <c r="E110" s="144"/>
      <c r="F110" s="144"/>
      <c r="G110" s="144"/>
      <c r="H110" s="144"/>
      <c r="I110" s="145"/>
      <c r="J110" s="51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4.25" customHeight="1">
      <c r="A111" s="61"/>
      <c r="B111" s="62"/>
      <c r="C111" s="146"/>
      <c r="I111" s="13"/>
      <c r="J111" s="51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4.25" customHeight="1">
      <c r="A112" s="61"/>
      <c r="B112" s="62"/>
      <c r="C112" s="146"/>
      <c r="I112" s="13"/>
      <c r="J112" s="51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4.25" customHeight="1">
      <c r="A113" s="46"/>
      <c r="B113" s="62"/>
      <c r="C113" s="146"/>
      <c r="I113" s="13"/>
      <c r="J113" s="51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4.25" customHeight="1">
      <c r="A114" s="46"/>
      <c r="B114" s="63"/>
      <c r="C114" s="147"/>
      <c r="D114" s="148"/>
      <c r="E114" s="148"/>
      <c r="F114" s="148"/>
      <c r="G114" s="148"/>
      <c r="H114" s="148"/>
      <c r="I114" s="149"/>
      <c r="J114" s="51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4.25" customHeight="1">
      <c r="A115" s="64"/>
      <c r="B115" s="150"/>
      <c r="C115" s="66"/>
      <c r="D115" s="66"/>
      <c r="E115" s="66"/>
      <c r="F115" s="66"/>
      <c r="G115" s="66"/>
      <c r="H115" s="66"/>
      <c r="I115" s="127"/>
      <c r="J115" s="51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71"/>
      <c r="B116" s="80"/>
      <c r="C116" s="80"/>
      <c r="D116" s="80"/>
      <c r="E116" s="80"/>
      <c r="F116" s="80"/>
      <c r="G116" s="81"/>
      <c r="H116" s="82"/>
      <c r="I116" s="80"/>
      <c r="J116" s="83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71"/>
      <c r="B117" s="84"/>
      <c r="C117" s="84"/>
      <c r="D117" s="84"/>
      <c r="E117" s="84"/>
      <c r="F117" s="84"/>
      <c r="G117" s="85"/>
      <c r="H117" s="86"/>
      <c r="I117" s="84"/>
      <c r="J117" s="7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0" customHeight="1">
      <c r="A118" s="71"/>
      <c r="B118" s="87"/>
      <c r="C118" s="87"/>
      <c r="D118" s="87"/>
      <c r="E118" s="87"/>
      <c r="F118" s="87"/>
      <c r="G118" s="88"/>
      <c r="H118" s="89"/>
      <c r="I118" s="90"/>
      <c r="J118" s="83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71"/>
      <c r="B119" s="129"/>
      <c r="C119" s="129"/>
      <c r="D119" s="129"/>
      <c r="E119" s="129"/>
      <c r="F119" s="129"/>
      <c r="G119" s="155"/>
      <c r="H119" s="156"/>
      <c r="I119" s="157"/>
      <c r="J119" s="134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72">
    <mergeCell ref="C70:I72"/>
    <mergeCell ref="B73:I73"/>
    <mergeCell ref="C75:I75"/>
    <mergeCell ref="C76:I79"/>
    <mergeCell ref="B80:I80"/>
    <mergeCell ref="C82:I82"/>
    <mergeCell ref="C83:I88"/>
    <mergeCell ref="B89:I89"/>
    <mergeCell ref="C91:I91"/>
    <mergeCell ref="A92:A97"/>
    <mergeCell ref="B92:B97"/>
    <mergeCell ref="C92:I97"/>
    <mergeCell ref="B98:I98"/>
    <mergeCell ref="C100:I100"/>
    <mergeCell ref="C110:I114"/>
    <mergeCell ref="B115:I115"/>
    <mergeCell ref="A101:A106"/>
    <mergeCell ref="B101:B106"/>
    <mergeCell ref="C101:I106"/>
    <mergeCell ref="B107:I107"/>
    <mergeCell ref="C109:I109"/>
    <mergeCell ref="A110:A112"/>
    <mergeCell ref="B110:B114"/>
    <mergeCell ref="B1:I1"/>
    <mergeCell ref="B2:I2"/>
    <mergeCell ref="B3:I3"/>
    <mergeCell ref="B4:I4"/>
    <mergeCell ref="B5:I5"/>
    <mergeCell ref="B7:I8"/>
    <mergeCell ref="B9:I9"/>
    <mergeCell ref="B10:I10"/>
    <mergeCell ref="B11:I14"/>
    <mergeCell ref="B15:I15"/>
    <mergeCell ref="B16:I16"/>
    <mergeCell ref="B17:I17"/>
    <mergeCell ref="C18:I18"/>
    <mergeCell ref="A19:A21"/>
    <mergeCell ref="B19:B21"/>
    <mergeCell ref="C19:I21"/>
    <mergeCell ref="B22:I22"/>
    <mergeCell ref="C24:I24"/>
    <mergeCell ref="A25:A27"/>
    <mergeCell ref="B25:B27"/>
    <mergeCell ref="C25:I27"/>
    <mergeCell ref="B28:I28"/>
    <mergeCell ref="C30:I30"/>
    <mergeCell ref="A31:A35"/>
    <mergeCell ref="B31:B35"/>
    <mergeCell ref="C31:I35"/>
    <mergeCell ref="B36:I36"/>
    <mergeCell ref="C38:I38"/>
    <mergeCell ref="A39:A47"/>
    <mergeCell ref="B39:B47"/>
    <mergeCell ref="C39:I47"/>
    <mergeCell ref="B48:I48"/>
    <mergeCell ref="C50:I50"/>
    <mergeCell ref="A51:A58"/>
    <mergeCell ref="B51:B58"/>
    <mergeCell ref="A62:A66"/>
    <mergeCell ref="A70:A72"/>
    <mergeCell ref="B70:B72"/>
    <mergeCell ref="A76:A79"/>
    <mergeCell ref="B76:B79"/>
    <mergeCell ref="A83:A88"/>
    <mergeCell ref="B83:B88"/>
    <mergeCell ref="C51:I58"/>
    <mergeCell ref="B59:I59"/>
    <mergeCell ref="C61:I61"/>
    <mergeCell ref="B62:B66"/>
    <mergeCell ref="C62:I66"/>
    <mergeCell ref="B67:I67"/>
    <mergeCell ref="C69:I69"/>
  </mergeCells>
  <hyperlinks>
    <hyperlink r:id="rId1" ref="B5"/>
  </hyperlinks>
  <printOptions/>
  <pageMargins bottom="0.0" footer="0.0" header="0.0" left="0.25" right="0.0" top="0.0"/>
  <pageSetup scale="54" orientation="portrait"/>
  <headerFooter>
    <oddFooter>&amp;C000000&amp;P</oddFooter>
  </headerFooter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