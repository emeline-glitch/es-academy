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 rentabilité" sheetId="1" r:id="rId4"/>
    <sheet state="visible" name="Ameublement" sheetId="2" r:id="rId5"/>
    <sheet state="visible" name="Budget travaux 1" sheetId="3" r:id="rId6"/>
    <sheet state="visible" name="Budget travaux 2" sheetId="4" r:id="rId7"/>
    <sheet state="visible" name="RÉCAPITULATIF (NE PAS MODIFIER)" sheetId="5" r:id="rId8"/>
  </sheets>
  <definedNames/>
  <calcPr/>
  <extLst>
    <ext uri="GoogleSheetsCustomDataVersion2">
      <go:sheetsCustomData xmlns:go="http://customooxmlschemas.google.com/" r:id="rId9" roundtripDataChecksum="vls60hI0Krgmh18m7xPbkiBBUHh9HPp/dN4xx2YGWgU="/>
    </ext>
  </extLst>
</workbook>
</file>

<file path=xl/sharedStrings.xml><?xml version="1.0" encoding="utf-8"?>
<sst xmlns="http://schemas.openxmlformats.org/spreadsheetml/2006/main" count="101" uniqueCount="84">
  <si>
    <t>ADRESSE DU PROJET :</t>
  </si>
  <si>
    <t>INVESTISSEMENT</t>
  </si>
  <si>
    <t>Prix de vente (FAI)</t>
  </si>
  <si>
    <t xml:space="preserve">Taxe foncière (annuelle) </t>
  </si>
  <si>
    <t>Loyers HC (mensuel)</t>
  </si>
  <si>
    <t>Surface du projet (m2)</t>
  </si>
  <si>
    <t>Montant des charges de copro/mois</t>
  </si>
  <si>
    <t>Durée du crédit (année)</t>
  </si>
  <si>
    <t>Taux d'intérêt</t>
  </si>
  <si>
    <t>GRILLE AMEUBLEMENT (compris livraison et montage)</t>
  </si>
  <si>
    <t>DESCRIPTIF</t>
  </si>
  <si>
    <t>T1</t>
  </si>
  <si>
    <t xml:space="preserve">Nombre de T1 </t>
  </si>
  <si>
    <t>T2</t>
  </si>
  <si>
    <t>Nombre de T2</t>
  </si>
  <si>
    <t>T3</t>
  </si>
  <si>
    <t>Nombre de T3</t>
  </si>
  <si>
    <t>T4</t>
  </si>
  <si>
    <t>Nombre de T4</t>
  </si>
  <si>
    <t>LLD</t>
  </si>
  <si>
    <t>LCD Classique</t>
  </si>
  <si>
    <t>LCD Thématique</t>
  </si>
  <si>
    <t>TOTAL par type</t>
  </si>
  <si>
    <t xml:space="preserve">TOTAL </t>
  </si>
  <si>
    <t>GRILLE TRAVAUX 1</t>
  </si>
  <si>
    <t>Rafraichissement</t>
  </si>
  <si>
    <t>Rénovation</t>
  </si>
  <si>
    <t>Création</t>
  </si>
  <si>
    <t>Parties communes (Façade, couloirs, toitures)</t>
  </si>
  <si>
    <t xml:space="preserve">Travaux complémentaires </t>
  </si>
  <si>
    <t>GRILLE TRAVAUX 2</t>
  </si>
  <si>
    <t>Budget</t>
  </si>
  <si>
    <t>Nombre de lots concernés</t>
  </si>
  <si>
    <t xml:space="preserve">Plans à réaliser </t>
  </si>
  <si>
    <t>Déclaration à prévoir (Si oui mettre 1)</t>
  </si>
  <si>
    <t>Kit LCD classique (comprend serrures connectés, linges, mise en service et Budget revêtements muraux)</t>
  </si>
  <si>
    <t>Kit LCD Thématique (comprend serrures connectés, linges, mise en service et Budget revêtements muraux)</t>
  </si>
  <si>
    <t>TOTAL</t>
  </si>
  <si>
    <t>Prix de vente</t>
  </si>
  <si>
    <t xml:space="preserve">Frais de notaire </t>
  </si>
  <si>
    <t>Travaux</t>
  </si>
  <si>
    <t>Ameublement</t>
  </si>
  <si>
    <t>TOTAL DE L'INVESTISSEMENT</t>
  </si>
  <si>
    <t>Taxe foncière</t>
  </si>
  <si>
    <t>Loyers HC (annuel)</t>
  </si>
  <si>
    <t>Assurance PNO</t>
  </si>
  <si>
    <t>Surface (m2)</t>
  </si>
  <si>
    <t>Taux d'assurance (Prix au m2)</t>
  </si>
  <si>
    <t>Montant de l'Assurance PNO</t>
  </si>
  <si>
    <t>Gestion locative</t>
  </si>
  <si>
    <t>Coût gestion loc</t>
  </si>
  <si>
    <t>Montant de gestion/an</t>
  </si>
  <si>
    <t>Gestion comptable</t>
  </si>
  <si>
    <t>Prix de gestion/an</t>
  </si>
  <si>
    <t>Charges de copropriété</t>
  </si>
  <si>
    <t>Montant des charges/mois</t>
  </si>
  <si>
    <t>Montant des charges/an</t>
  </si>
  <si>
    <t>Crédit</t>
  </si>
  <si>
    <r>
      <rPr>
        <rFont val="Arial"/>
        <color rgb="FF000000"/>
        <sz val="10.0"/>
      </rPr>
      <t xml:space="preserve">Demande de financement : </t>
    </r>
    <r>
      <rPr>
        <rFont val="Arial"/>
        <color rgb="FF0000FF"/>
        <sz val="10.0"/>
        <u/>
      </rPr>
      <t>https://www.immobilierclub.com/courtage-en-financement</t>
    </r>
    <r>
      <rPr>
        <rFont val="Arial"/>
        <color rgb="FF000000"/>
        <sz val="10.0"/>
      </rPr>
      <t xml:space="preserve"> </t>
    </r>
  </si>
  <si>
    <t>Apport (Frais de notaire de base )</t>
  </si>
  <si>
    <t xml:space="preserve">Montant du prêt </t>
  </si>
  <si>
    <t>Durée (année)</t>
  </si>
  <si>
    <t>Taux d'assurance</t>
  </si>
  <si>
    <t>Mensualité</t>
  </si>
  <si>
    <t>Mensualité à l'année</t>
  </si>
  <si>
    <t xml:space="preserve">Intérêts total du crédit </t>
  </si>
  <si>
    <t>Intérêts/AN</t>
  </si>
  <si>
    <t>Cash-flow avant impôt</t>
  </si>
  <si>
    <t>Cash flow avant impôt/an</t>
  </si>
  <si>
    <t xml:space="preserve">Cash flow avant impôt/mois </t>
  </si>
  <si>
    <t>Amortissement</t>
  </si>
  <si>
    <t>Type</t>
  </si>
  <si>
    <t>Nombre d'année</t>
  </si>
  <si>
    <t>Montant amortissable/an</t>
  </si>
  <si>
    <t>Bati</t>
  </si>
  <si>
    <t>Impôt (SCI à l'IS)</t>
  </si>
  <si>
    <t>Bénéfices imposables</t>
  </si>
  <si>
    <t>Montant de l'impot</t>
  </si>
  <si>
    <t>Cash-flow après impôt</t>
  </si>
  <si>
    <t>Cash flow après impôt/an</t>
  </si>
  <si>
    <t xml:space="preserve">Cash flow après impôt/mois </t>
  </si>
  <si>
    <t>Rentabilité</t>
  </si>
  <si>
    <t>Renta brute</t>
  </si>
  <si>
    <t xml:space="preserve">Renta nette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</si>
</sst>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&quot; €&quot;"/>
    <numFmt numFmtId="165" formatCode="[$€-2]&quot; &quot;#,##0.00"/>
    <numFmt numFmtId="166" formatCode="[$€-2]&quot; &quot;0.00"/>
    <numFmt numFmtId="167" formatCode="#,##0.00&quot; € &quot;;(#,##0.00&quot; €)&quot;"/>
  </numFmts>
  <fonts count="9">
    <font>
      <sz val="12.0"/>
      <color rgb="FF000000"/>
      <name val="Calibri"/>
      <scheme val="minor"/>
    </font>
    <font>
      <b/>
      <sz val="11.0"/>
      <color rgb="FF000000"/>
      <name val="Arial"/>
    </font>
    <font/>
    <font>
      <sz val="12.0"/>
      <color rgb="FF000000"/>
      <name val="Calibri"/>
    </font>
    <font>
      <b/>
      <sz val="10.0"/>
      <color rgb="FFFFFFFF"/>
      <name val="Arial"/>
    </font>
    <font>
      <sz val="10.0"/>
      <color rgb="FF000000"/>
      <name val="Arial"/>
    </font>
    <font>
      <sz val="12.0"/>
      <color rgb="FF000000"/>
      <name val="Arial"/>
    </font>
    <font>
      <b/>
      <sz val="10.0"/>
      <color rgb="FF000000"/>
      <name val="Arial"/>
    </font>
    <font>
      <u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6E55"/>
        <bgColor rgb="FF2C6E55"/>
      </patternFill>
    </fill>
    <fill>
      <patternFill patternType="solid">
        <fgColor rgb="FFD2D2D2"/>
        <bgColor rgb="FFD2D2D2"/>
      </patternFill>
    </fill>
    <fill>
      <patternFill patternType="solid">
        <fgColor rgb="FFDDDDDD"/>
        <bgColor rgb="FFDDDDDD"/>
      </patternFill>
    </fill>
    <fill>
      <patternFill patternType="solid">
        <fgColor rgb="FFED7D31"/>
        <bgColor rgb="FFED7D31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</fills>
  <borders count="28">
    <border/>
    <border>
      <left style="thin">
        <color rgb="FFAAAAAA"/>
      </left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525252"/>
      </bottom>
    </border>
    <border>
      <top style="thin">
        <color rgb="FFAAAAAA"/>
      </top>
      <bottom style="thin">
        <color rgb="FF525252"/>
      </bottom>
    </border>
    <border>
      <right style="thin">
        <color rgb="FFAAAAAA"/>
      </right>
      <top style="thin">
        <color rgb="FFAAAAAA"/>
      </top>
      <bottom style="thin">
        <color rgb="FF525252"/>
      </bottom>
    </border>
    <border>
      <left style="thin">
        <color rgb="FF000000"/>
      </left>
      <right style="thin">
        <color rgb="FF525252"/>
      </right>
      <top style="thin">
        <color rgb="FF000000"/>
      </top>
      <bottom style="thin">
        <color rgb="FF000000"/>
      </bottom>
    </border>
    <border>
      <left style="thin">
        <color rgb="FF525252"/>
      </left>
      <right style="thin">
        <color rgb="FF525252"/>
      </right>
      <top style="thin">
        <color rgb="FF525252"/>
      </top>
      <bottom style="thin">
        <color rgb="FF525252"/>
      </bottom>
    </border>
    <border>
      <left style="thin">
        <color rgb="FF525252"/>
      </left>
      <right style="thin">
        <color rgb="FF525252"/>
      </right>
      <top style="thin">
        <color rgb="FF000000"/>
      </top>
      <bottom style="thin">
        <color rgb="FF525252"/>
      </bottom>
    </border>
    <border>
      <left style="thin">
        <color rgb="FF525252"/>
      </left>
      <top style="thin">
        <color rgb="FF525252"/>
      </top>
      <bottom style="thin">
        <color rgb="FF525252"/>
      </bottom>
    </border>
    <border>
      <top style="thin">
        <color rgb="FF525252"/>
      </top>
      <bottom style="thin">
        <color rgb="FF525252"/>
      </bottom>
    </border>
    <border>
      <right style="thin">
        <color rgb="FF525252"/>
      </right>
      <top style="thin">
        <color rgb="FF525252"/>
      </top>
      <bottom style="thin">
        <color rgb="FF525252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49" xfId="0" applyAlignment="1" applyBorder="1" applyFill="1" applyFont="1" applyNumberFormat="1">
      <alignment horizontal="center" vertical="bottom"/>
    </xf>
    <xf borderId="4" fillId="0" fontId="2" numFmtId="0" xfId="0" applyBorder="1" applyFont="1"/>
    <xf borderId="5" fillId="0" fontId="5" numFmtId="49" xfId="0" applyAlignment="1" applyBorder="1" applyFont="1" applyNumberFormat="1">
      <alignment vertical="bottom"/>
    </xf>
    <xf borderId="5" fillId="2" fontId="5" numFmtId="164" xfId="0" applyAlignment="1" applyBorder="1" applyFont="1" applyNumberFormat="1">
      <alignment horizontal="right" vertical="center"/>
    </xf>
    <xf borderId="5" fillId="2" fontId="5" numFmtId="0" xfId="0" applyAlignment="1" applyBorder="1" applyFont="1">
      <alignment horizontal="right" vertical="center"/>
    </xf>
    <xf borderId="5" fillId="2" fontId="5" numFmtId="49" xfId="0" applyAlignment="1" applyBorder="1" applyFont="1" applyNumberFormat="1">
      <alignment horizontal="left" shrinkToFit="0" vertical="center" wrapText="1"/>
    </xf>
    <xf borderId="5" fillId="2" fontId="5" numFmtId="10" xfId="0" applyAlignment="1" applyBorder="1" applyFont="1" applyNumberFormat="1">
      <alignment horizontal="right" vertical="center"/>
    </xf>
    <xf borderId="6" fillId="2" fontId="1" numFmtId="49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49" xfId="0" applyAlignment="1" applyBorder="1" applyFont="1" applyNumberFormat="1">
      <alignment horizontal="center" vertical="bottom"/>
    </xf>
    <xf borderId="10" fillId="0" fontId="5" numFmtId="49" xfId="0" applyAlignment="1" applyBorder="1" applyFont="1" applyNumberFormat="1">
      <alignment vertical="bottom"/>
    </xf>
    <xf borderId="11" fillId="0" fontId="5" numFmtId="49" xfId="0" applyAlignment="1" applyBorder="1" applyFont="1" applyNumberFormat="1">
      <alignment vertical="bottom"/>
    </xf>
    <xf borderId="10" fillId="4" fontId="5" numFmtId="165" xfId="0" applyAlignment="1" applyBorder="1" applyFill="1" applyFont="1" applyNumberFormat="1">
      <alignment vertical="bottom"/>
    </xf>
    <xf borderId="10" fillId="0" fontId="5" numFmtId="0" xfId="0" applyAlignment="1" applyBorder="1" applyFont="1">
      <alignment vertical="bottom"/>
    </xf>
    <xf borderId="10" fillId="0" fontId="5" numFmtId="166" xfId="0" applyAlignment="1" applyBorder="1" applyFont="1" applyNumberFormat="1">
      <alignment vertical="bottom"/>
    </xf>
    <xf borderId="10" fillId="5" fontId="5" numFmtId="165" xfId="0" applyAlignment="1" applyBorder="1" applyFill="1" applyFont="1" applyNumberFormat="1">
      <alignment vertical="bottom"/>
    </xf>
    <xf borderId="12" fillId="5" fontId="5" numFmtId="165" xfId="0" applyAlignment="1" applyBorder="1" applyFont="1" applyNumberForma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0" fillId="0" fontId="5" numFmtId="165" xfId="0" applyAlignment="1" applyBorder="1" applyFont="1" applyNumberFormat="1">
      <alignment vertical="bottom"/>
    </xf>
    <xf borderId="12" fillId="0" fontId="5" numFmtId="165" xfId="0" applyAlignment="1" applyBorder="1" applyFont="1" applyNumberFormat="1">
      <alignment horizontal="center" vertical="bottom"/>
    </xf>
    <xf borderId="10" fillId="4" fontId="5" numFmtId="0" xfId="0" applyAlignment="1" applyBorder="1" applyFont="1">
      <alignment vertical="bottom"/>
    </xf>
    <xf borderId="10" fillId="5" fontId="5" numFmtId="0" xfId="0" applyAlignment="1" applyBorder="1" applyFont="1">
      <alignment vertical="bottom"/>
    </xf>
    <xf borderId="15" fillId="2" fontId="1" numFmtId="49" xfId="0" applyAlignment="1" applyBorder="1" applyFont="1" applyNumberForma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0" fillId="0" fontId="6" numFmtId="0" xfId="0" applyAlignment="1" applyFont="1">
      <alignment vertical="bottom"/>
    </xf>
    <xf borderId="3" fillId="6" fontId="7" numFmtId="49" xfId="0" applyAlignment="1" applyBorder="1" applyFill="1" applyFont="1" applyNumberFormat="1">
      <alignment horizontal="center" vertical="bottom"/>
    </xf>
    <xf borderId="18" fillId="0" fontId="5" numFmtId="0" xfId="0" applyAlignment="1" applyBorder="1" applyFont="1">
      <alignment vertical="bottom"/>
    </xf>
    <xf borderId="5" fillId="7" fontId="5" numFmtId="164" xfId="0" applyAlignment="1" applyBorder="1" applyFill="1" applyFont="1" applyNumberFormat="1">
      <alignment horizontal="right" vertical="center"/>
    </xf>
    <xf borderId="5" fillId="5" fontId="5" numFmtId="164" xfId="0" applyAlignment="1" applyBorder="1" applyFont="1" applyNumberFormat="1">
      <alignment horizontal="right" vertical="center"/>
    </xf>
    <xf borderId="5" fillId="0" fontId="7" numFmtId="49" xfId="0" applyAlignment="1" applyBorder="1" applyFont="1" applyNumberFormat="1">
      <alignment vertical="bottom"/>
    </xf>
    <xf borderId="5" fillId="8" fontId="7" numFmtId="164" xfId="0" applyAlignment="1" applyBorder="1" applyFill="1" applyFont="1" applyNumberFormat="1">
      <alignment horizontal="right" vertical="center"/>
    </xf>
    <xf borderId="19" fillId="0" fontId="5" numFmtId="0" xfId="0" applyAlignment="1" applyBorder="1" applyFont="1">
      <alignment vertical="bottom"/>
    </xf>
    <xf borderId="19" fillId="2" fontId="7" numFmtId="164" xfId="0" applyAlignment="1" applyBorder="1" applyFont="1" applyNumberFormat="1">
      <alignment horizontal="right" vertical="center"/>
    </xf>
    <xf borderId="20" fillId="0" fontId="5" numFmtId="0" xfId="0" applyAlignment="1" applyBorder="1" applyFont="1">
      <alignment vertical="bottom"/>
    </xf>
    <xf borderId="19" fillId="2" fontId="5" numFmtId="164" xfId="0" applyAlignment="1" applyBorder="1" applyFont="1" applyNumberFormat="1">
      <alignment horizontal="right" vertical="center"/>
    </xf>
    <xf borderId="5" fillId="8" fontId="5" numFmtId="164" xfId="0" applyAlignment="1" applyBorder="1" applyFont="1" applyNumberFormat="1">
      <alignment horizontal="right" vertical="center"/>
    </xf>
    <xf borderId="5" fillId="8" fontId="5" numFmtId="9" xfId="0" applyAlignment="1" applyBorder="1" applyFont="1" applyNumberFormat="1">
      <alignment horizontal="right" vertical="center"/>
    </xf>
    <xf borderId="21" fillId="6" fontId="7" numFmtId="49" xfId="0" applyAlignment="1" applyBorder="1" applyFont="1" applyNumberFormat="1">
      <alignment horizontal="center" vertical="bottom"/>
    </xf>
    <xf borderId="22" fillId="0" fontId="2" numFmtId="0" xfId="0" applyBorder="1" applyFont="1"/>
    <xf borderId="23" fillId="0" fontId="8" numFmtId="49" xfId="0" applyAlignment="1" applyBorder="1" applyFont="1" applyNumberFormat="1">
      <alignment vertical="bottom"/>
    </xf>
    <xf borderId="24" fillId="0" fontId="5" numFmtId="49" xfId="0" applyAlignment="1" applyBorder="1" applyFont="1" applyNumberFormat="1">
      <alignment vertical="bottom"/>
    </xf>
    <xf borderId="24" fillId="4" fontId="5" numFmtId="164" xfId="0" applyAlignment="1" applyBorder="1" applyFont="1" applyNumberFormat="1">
      <alignment horizontal="right" vertical="center"/>
    </xf>
    <xf borderId="5" fillId="7" fontId="5" numFmtId="167" xfId="0" applyAlignment="1" applyBorder="1" applyFont="1" applyNumberFormat="1">
      <alignment horizontal="right" vertical="center"/>
    </xf>
    <xf borderId="18" fillId="0" fontId="5" numFmtId="164" xfId="0" applyAlignment="1" applyBorder="1" applyFont="1" applyNumberFormat="1">
      <alignment vertical="bottom"/>
    </xf>
    <xf borderId="18" fillId="0" fontId="6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6" fillId="0" fontId="2" numFmtId="0" xfId="0" applyBorder="1" applyFont="1"/>
    <xf borderId="5" fillId="2" fontId="7" numFmtId="49" xfId="0" applyAlignment="1" applyBorder="1" applyFont="1" applyNumberFormat="1">
      <alignment horizontal="center" vertical="center"/>
    </xf>
    <xf borderId="5" fillId="2" fontId="7" numFmtId="49" xfId="0" applyAlignment="1" applyBorder="1" applyFont="1" applyNumberFormat="1">
      <alignment horizontal="center" shrinkToFit="0" vertical="center" wrapText="1"/>
    </xf>
    <xf borderId="5" fillId="0" fontId="5" numFmtId="49" xfId="0" applyAlignment="1" applyBorder="1" applyFont="1" applyNumberFormat="1">
      <alignment horizontal="left" vertical="bottom"/>
    </xf>
    <xf borderId="5" fillId="2" fontId="5" numFmtId="0" xfId="0" applyAlignment="1" applyBorder="1" applyFont="1">
      <alignment horizontal="center" vertical="center"/>
    </xf>
    <xf borderId="5" fillId="7" fontId="5" numFmtId="164" xfId="0" applyAlignment="1" applyBorder="1" applyFont="1" applyNumberFormat="1">
      <alignment horizontal="center" vertical="bottom"/>
    </xf>
    <xf borderId="19" fillId="0" fontId="5" numFmtId="0" xfId="0" applyAlignment="1" applyBorder="1" applyFont="1">
      <alignment horizontal="left" vertical="bottom"/>
    </xf>
    <xf borderId="19" fillId="2" fontId="5" numFmtId="0" xfId="0" applyAlignment="1" applyBorder="1" applyFont="1">
      <alignment horizontal="right" vertical="center"/>
    </xf>
    <xf borderId="27" fillId="0" fontId="5" numFmtId="164" xfId="0" applyAlignment="1" applyBorder="1" applyFont="1" applyNumberFormat="1">
      <alignment horizontal="center" vertical="bottom"/>
    </xf>
    <xf borderId="18" fillId="0" fontId="5" numFmtId="164" xfId="0" applyAlignment="1" applyBorder="1" applyFont="1" applyNumberFormat="1">
      <alignment horizontal="center" vertical="bottom"/>
    </xf>
    <xf borderId="5" fillId="7" fontId="5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mobilierclub.com/courtage-en-financement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4.22"/>
    <col customWidth="1" min="2" max="2" width="17.89"/>
    <col customWidth="1" min="7" max="26" width="11.11"/>
  </cols>
  <sheetData>
    <row r="1" ht="27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 t="s">
        <v>2</v>
      </c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6" t="s">
        <v>3</v>
      </c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4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5</v>
      </c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9" t="s">
        <v>6</v>
      </c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" t="s">
        <v>7</v>
      </c>
      <c r="B8" s="8">
        <v>20.0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6" t="s">
        <v>8</v>
      </c>
      <c r="B9" s="10">
        <v>0.0365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B1"/>
    <mergeCell ref="A2:B2"/>
  </mergeCells>
  <printOptions/>
  <pageMargins bottom="0.75" footer="0.0" header="0.0" left="0.7" right="0.7" top="0.75"/>
  <pageSetup orientation="landscape"/>
  <headerFooter>
    <oddFooter>&amp;C000000000000&amp;P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6.67"/>
    <col customWidth="1" min="2" max="2" width="9.44"/>
    <col customWidth="1" min="3" max="3" width="13.22"/>
    <col customWidth="1" min="4" max="4" width="9.44"/>
    <col customWidth="1" min="5" max="5" width="12.44"/>
    <col customWidth="1" min="6" max="6" width="9.44"/>
    <col customWidth="1" min="7" max="7" width="12.44"/>
    <col customWidth="1" min="8" max="8" width="9.44"/>
    <col customWidth="1" min="9" max="9" width="12.44"/>
    <col customWidth="1" min="10" max="26" width="11.11"/>
  </cols>
  <sheetData>
    <row r="1" ht="27.0" customHeight="1">
      <c r="A1" s="11" t="s">
        <v>9</v>
      </c>
      <c r="B1" s="12"/>
      <c r="C1" s="12"/>
      <c r="D1" s="12"/>
      <c r="E1" s="12"/>
      <c r="F1" s="12"/>
      <c r="G1" s="12"/>
      <c r="H1" s="12"/>
      <c r="I1" s="1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4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6" t="s">
        <v>19</v>
      </c>
      <c r="B3" s="17">
        <v>8200.0</v>
      </c>
      <c r="C3" s="18"/>
      <c r="D3" s="17">
        <v>10200.0</v>
      </c>
      <c r="E3" s="18"/>
      <c r="F3" s="17">
        <v>12200.0</v>
      </c>
      <c r="G3" s="18"/>
      <c r="H3" s="17">
        <v>15200.0</v>
      </c>
      <c r="I3" s="1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20</v>
      </c>
      <c r="B4" s="17">
        <v>10200.0</v>
      </c>
      <c r="C4" s="18"/>
      <c r="D4" s="17">
        <v>12200.0</v>
      </c>
      <c r="E4" s="18"/>
      <c r="F4" s="17">
        <v>14400.0</v>
      </c>
      <c r="G4" s="18"/>
      <c r="H4" s="17">
        <v>17000.0</v>
      </c>
      <c r="I4" s="1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21</v>
      </c>
      <c r="B5" s="17">
        <v>19200.0</v>
      </c>
      <c r="C5" s="18"/>
      <c r="D5" s="17">
        <v>22500.0</v>
      </c>
      <c r="E5" s="18"/>
      <c r="F5" s="17">
        <v>25500.0</v>
      </c>
      <c r="G5" s="18"/>
      <c r="H5" s="17">
        <v>29000.0</v>
      </c>
      <c r="I5" s="1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5" t="s">
        <v>22</v>
      </c>
      <c r="B6" s="19"/>
      <c r="C6" s="20">
        <f>C3*B3+C4*B4+C5*B5</f>
        <v>0</v>
      </c>
      <c r="D6" s="19"/>
      <c r="E6" s="20">
        <f>E3*D3+E4*D4+E5*D5</f>
        <v>0</v>
      </c>
      <c r="F6" s="19"/>
      <c r="G6" s="20">
        <f>G3*F3+G4*F4+G5*F5</f>
        <v>0</v>
      </c>
      <c r="H6" s="19"/>
      <c r="I6" s="20">
        <f>I3*H3+I4*H4+I5*H5</f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5" t="s">
        <v>23</v>
      </c>
      <c r="B7" s="21">
        <f>C6+E6+G6+I6</f>
        <v>0</v>
      </c>
      <c r="C7" s="22"/>
      <c r="D7" s="22"/>
      <c r="E7" s="22"/>
      <c r="F7" s="22"/>
      <c r="G7" s="22"/>
      <c r="H7" s="22"/>
      <c r="I7" s="2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B7:I7"/>
  </mergeCells>
  <printOptions/>
  <pageMargins bottom="1.0" footer="0.0" header="0.0" left="1.0" right="1.0" top="1.0"/>
  <pageSetup orientation="portrait"/>
  <headerFooter>
    <oddFooter>&amp;C000000000000&amp;P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6.67"/>
    <col customWidth="1" min="2" max="2" width="9.44"/>
    <col customWidth="1" min="3" max="3" width="13.22"/>
    <col customWidth="1" min="4" max="4" width="9.44"/>
    <col customWidth="1" min="5" max="5" width="12.44"/>
    <col customWidth="1" min="6" max="6" width="9.44"/>
    <col customWidth="1" min="7" max="7" width="12.44"/>
    <col customWidth="1" min="8" max="8" width="9.44"/>
    <col customWidth="1" min="9" max="9" width="12.44"/>
    <col customWidth="1" min="10" max="26" width="11.11"/>
  </cols>
  <sheetData>
    <row r="1" ht="27.0" customHeight="1">
      <c r="A1" s="11" t="s">
        <v>24</v>
      </c>
      <c r="B1" s="12"/>
      <c r="C1" s="12"/>
      <c r="D1" s="12"/>
      <c r="E1" s="12"/>
      <c r="F1" s="12"/>
      <c r="G1" s="12"/>
      <c r="H1" s="12"/>
      <c r="I1" s="1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4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6" t="s">
        <v>25</v>
      </c>
      <c r="B3" s="17">
        <v>10000.0</v>
      </c>
      <c r="C3" s="18"/>
      <c r="D3" s="17">
        <v>12500.0</v>
      </c>
      <c r="E3" s="18"/>
      <c r="F3" s="17">
        <v>15000.0</v>
      </c>
      <c r="G3" s="18"/>
      <c r="H3" s="17">
        <v>17500.0</v>
      </c>
      <c r="I3" s="1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26</v>
      </c>
      <c r="B4" s="17">
        <v>20000.0</v>
      </c>
      <c r="C4" s="18"/>
      <c r="D4" s="17">
        <v>25000.0</v>
      </c>
      <c r="E4" s="18"/>
      <c r="F4" s="17">
        <v>30000.0</v>
      </c>
      <c r="G4" s="18"/>
      <c r="H4" s="17">
        <v>35000.0</v>
      </c>
      <c r="I4" s="1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27</v>
      </c>
      <c r="B5" s="17">
        <v>30000.0</v>
      </c>
      <c r="C5" s="18"/>
      <c r="D5" s="17">
        <v>40000.0</v>
      </c>
      <c r="E5" s="18"/>
      <c r="F5" s="17">
        <v>50000.0</v>
      </c>
      <c r="G5" s="18"/>
      <c r="H5" s="17">
        <v>60000.0</v>
      </c>
      <c r="I5" s="1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5" t="s">
        <v>22</v>
      </c>
      <c r="B6" s="24"/>
      <c r="C6" s="20">
        <f>C3*B3+C4*B4+C5*B5</f>
        <v>0</v>
      </c>
      <c r="D6" s="19"/>
      <c r="E6" s="20">
        <f>E3*D3+E4*D4+E5*D5</f>
        <v>0</v>
      </c>
      <c r="F6" s="19"/>
      <c r="G6" s="20">
        <f>G3*F3+G4*F4+G5*F5</f>
        <v>0</v>
      </c>
      <c r="H6" s="19"/>
      <c r="I6" s="20">
        <f>I3*H3+I4*H4+I5*H5</f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5" t="s">
        <v>28</v>
      </c>
      <c r="B7" s="25"/>
      <c r="C7" s="22"/>
      <c r="D7" s="22"/>
      <c r="E7" s="22"/>
      <c r="F7" s="22"/>
      <c r="G7" s="22"/>
      <c r="H7" s="22"/>
      <c r="I7" s="2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5" t="s">
        <v>29</v>
      </c>
      <c r="B8" s="25"/>
      <c r="C8" s="22"/>
      <c r="D8" s="22"/>
      <c r="E8" s="22"/>
      <c r="F8" s="22"/>
      <c r="G8" s="22"/>
      <c r="H8" s="22"/>
      <c r="I8" s="2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5" t="s">
        <v>23</v>
      </c>
      <c r="B9" s="21">
        <f>C6+E6+G6+I6+B7+B8</f>
        <v>0</v>
      </c>
      <c r="C9" s="22"/>
      <c r="D9" s="22"/>
      <c r="E9" s="22"/>
      <c r="F9" s="22"/>
      <c r="G9" s="22"/>
      <c r="H9" s="22"/>
      <c r="I9" s="2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B7:I7"/>
    <mergeCell ref="B8:I8"/>
    <mergeCell ref="B9:I9"/>
  </mergeCells>
  <printOptions/>
  <pageMargins bottom="1.0" footer="0.0" header="0.0" left="1.0" right="1.0" top="1.0"/>
  <pageSetup orientation="portrait"/>
  <headerFooter>
    <oddFooter>&amp;C000000000000&amp;P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74.67"/>
    <col customWidth="1" min="2" max="2" width="9.44"/>
    <col customWidth="1" min="3" max="3" width="31.0"/>
    <col customWidth="1" min="7" max="26" width="11.11"/>
  </cols>
  <sheetData>
    <row r="1" ht="27.0" customHeight="1">
      <c r="A1" s="11" t="s">
        <v>30</v>
      </c>
      <c r="B1" s="12"/>
      <c r="C1" s="1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4" t="s">
        <v>10</v>
      </c>
      <c r="B2" s="15" t="s">
        <v>31</v>
      </c>
      <c r="C2" s="15" t="s">
        <v>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6" t="s">
        <v>33</v>
      </c>
      <c r="B3" s="17">
        <v>500.0</v>
      </c>
      <c r="C3" s="26">
        <f>SUM('Budget travaux 1'!C3:C5,'Budget travaux 1'!E3:E5,'Budget travaux 1'!G3:G5,'Budget travaux 1'!I3:I5)</f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34</v>
      </c>
      <c r="B4" s="17">
        <v>1500.0</v>
      </c>
      <c r="C4" s="1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35</v>
      </c>
      <c r="B5" s="17">
        <v>7000.0</v>
      </c>
      <c r="C5" s="27">
        <f>SUM(Ameublement!C4,Ameublement!E4,Ameublement!G4,Ameublement!I4)</f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5" t="s">
        <v>36</v>
      </c>
      <c r="B6" s="17">
        <v>10000.0</v>
      </c>
      <c r="C6" s="27">
        <f>SUM(Ameublement!C5,Ameublement!E5,Ameublement!G5,Ameublement!I5)</f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5" t="s">
        <v>37</v>
      </c>
      <c r="B7" s="19"/>
      <c r="C7" s="20">
        <f>C3*B3+C4*B4+C5*B5+C6*B6</f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C1"/>
  </mergeCells>
  <printOptions/>
  <pageMargins bottom="1.0" footer="0.0" header="0.0" left="1.0" right="1.0" top="1.0"/>
  <pageSetup orientation="portrait"/>
  <headerFooter>
    <oddFooter>&amp;C000000000000&amp;P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0.78"/>
    <col customWidth="1" min="2" max="2" width="17.89"/>
    <col customWidth="1" min="3" max="3" width="22.0"/>
    <col customWidth="1" min="7" max="26" width="11.11"/>
  </cols>
  <sheetData>
    <row r="1" ht="27.0" customHeight="1">
      <c r="A1" s="28" t="s">
        <v>0</v>
      </c>
      <c r="B1" s="29"/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2" t="s">
        <v>1</v>
      </c>
      <c r="B2" s="5"/>
      <c r="C2" s="33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6" t="s">
        <v>38</v>
      </c>
      <c r="B3" s="7" t="str">
        <f>'Calcul rentabilité'!B3</f>
        <v/>
      </c>
      <c r="C3" s="33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6" t="s">
        <v>39</v>
      </c>
      <c r="B4" s="34">
        <f>IF(B3&gt;=100000,B3*7.5%,B3*10%)</f>
        <v>0</v>
      </c>
      <c r="C4" s="33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6" t="s">
        <v>40</v>
      </c>
      <c r="B5" s="35">
        <f>'Budget travaux 1'!B9+'Budget travaux 2'!C7</f>
        <v>0</v>
      </c>
      <c r="C5" s="3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6" t="s">
        <v>41</v>
      </c>
      <c r="B6" s="35">
        <f>Ameublement!B7</f>
        <v>0</v>
      </c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6" t="s">
        <v>42</v>
      </c>
      <c r="B7" s="37">
        <f>SUM(B3:B6)</f>
        <v>0</v>
      </c>
      <c r="C7" s="33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8"/>
      <c r="B8" s="39"/>
      <c r="C8" s="4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6" t="s">
        <v>43</v>
      </c>
      <c r="B9" s="7" t="str">
        <f>'Calcul rentabilité'!B4</f>
        <v/>
      </c>
      <c r="C9" s="33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6" t="s">
        <v>4</v>
      </c>
      <c r="B10" s="7" t="str">
        <f>'Calcul rentabilité'!B5</f>
        <v/>
      </c>
      <c r="C10" s="33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6" t="s">
        <v>44</v>
      </c>
      <c r="B11" s="34">
        <v>0.0</v>
      </c>
      <c r="C11" s="33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8"/>
      <c r="B12" s="41"/>
      <c r="C12" s="4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2" t="s">
        <v>45</v>
      </c>
      <c r="B13" s="5"/>
      <c r="C13" s="33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6" t="s">
        <v>46</v>
      </c>
      <c r="B14" s="8" t="str">
        <f>'Calcul rentabilité'!B6</f>
        <v/>
      </c>
      <c r="C14" s="33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6" t="s">
        <v>47</v>
      </c>
      <c r="B15" s="42">
        <v>2.0</v>
      </c>
      <c r="C15" s="33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6" t="s">
        <v>48</v>
      </c>
      <c r="B16" s="34">
        <f>B15*B14</f>
        <v>0</v>
      </c>
      <c r="C16" s="33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8"/>
      <c r="B17" s="41"/>
      <c r="C17" s="4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2" t="s">
        <v>49</v>
      </c>
      <c r="B18" s="5"/>
      <c r="C18" s="33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6" t="s">
        <v>50</v>
      </c>
      <c r="B19" s="43">
        <v>0.08</v>
      </c>
      <c r="C19" s="33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6" t="s">
        <v>51</v>
      </c>
      <c r="B20" s="42">
        <f>B19*B11</f>
        <v>0</v>
      </c>
      <c r="C20" s="33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8"/>
      <c r="B21" s="41"/>
      <c r="C21" s="4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52</v>
      </c>
      <c r="B22" s="5"/>
      <c r="C22" s="33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6" t="s">
        <v>53</v>
      </c>
      <c r="B23" s="42">
        <v>600.0</v>
      </c>
      <c r="C23" s="33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8"/>
      <c r="B24" s="41"/>
      <c r="C24" s="4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54</v>
      </c>
      <c r="B25" s="5"/>
      <c r="C25" s="33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6.5" customHeight="1">
      <c r="A26" s="9" t="s">
        <v>55</v>
      </c>
      <c r="B26" s="7" t="str">
        <f>'Calcul rentabilité'!B7</f>
        <v/>
      </c>
      <c r="C26" s="33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6" t="s">
        <v>56</v>
      </c>
      <c r="B27" s="42">
        <f>B26*12</f>
        <v>0</v>
      </c>
      <c r="C27" s="33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8"/>
      <c r="B28" s="41"/>
      <c r="C28" s="4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44" t="s">
        <v>57</v>
      </c>
      <c r="B29" s="45"/>
      <c r="C29" s="33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46" t="s">
        <v>58</v>
      </c>
      <c r="B30" s="30"/>
      <c r="C30" s="4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47" t="s">
        <v>59</v>
      </c>
      <c r="B31" s="48">
        <f>B4</f>
        <v>0</v>
      </c>
      <c r="C31" s="33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6" t="s">
        <v>60</v>
      </c>
      <c r="B32" s="34">
        <f>B7-B31</f>
        <v>0</v>
      </c>
      <c r="C32" s="33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6" t="s">
        <v>61</v>
      </c>
      <c r="B33" s="8">
        <f>'Calcul rentabilité'!B8</f>
        <v>20</v>
      </c>
      <c r="C33" s="33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6" t="s">
        <v>8</v>
      </c>
      <c r="B34" s="10">
        <f>'Calcul rentabilité'!B9</f>
        <v>0.0365</v>
      </c>
      <c r="C34" s="33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6" t="s">
        <v>62</v>
      </c>
      <c r="B35" s="10">
        <v>0.0034</v>
      </c>
      <c r="C35" s="33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6" t="s">
        <v>63</v>
      </c>
      <c r="B36" s="49">
        <f>ROUNDUP((PMT((1+B34)^(1/12)-1,B33*12,B32)*-1)+(B35*B32)/12,0)</f>
        <v>0</v>
      </c>
      <c r="C36" s="33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6" t="s">
        <v>64</v>
      </c>
      <c r="B37" s="49">
        <f>B36*12</f>
        <v>0</v>
      </c>
      <c r="C37" s="33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6" t="s">
        <v>65</v>
      </c>
      <c r="B38" s="34">
        <f>B37*B33-B32</f>
        <v>0</v>
      </c>
      <c r="C38" s="5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6" t="s">
        <v>66</v>
      </c>
      <c r="B39" s="34">
        <f>B38/B33</f>
        <v>0</v>
      </c>
      <c r="C39" s="5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8"/>
      <c r="B40" s="41"/>
      <c r="C40" s="4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67</v>
      </c>
      <c r="B41" s="5"/>
      <c r="C41" s="33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6" t="s">
        <v>68</v>
      </c>
      <c r="B42" s="42">
        <f>B11-B9-B16-B20-B23-B27-B37</f>
        <v>-600</v>
      </c>
      <c r="C42" s="33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6" t="s">
        <v>69</v>
      </c>
      <c r="B43" s="42">
        <f>B42/12</f>
        <v>-50</v>
      </c>
      <c r="C43" s="33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8"/>
      <c r="B44" s="41"/>
      <c r="C44" s="52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70</v>
      </c>
      <c r="B45" s="53"/>
      <c r="C45" s="5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31.5" customHeight="1">
      <c r="A46" s="54" t="s">
        <v>71</v>
      </c>
      <c r="B46" s="54" t="s">
        <v>72</v>
      </c>
      <c r="C46" s="55" t="s">
        <v>73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56" t="s">
        <v>74</v>
      </c>
      <c r="B47" s="57">
        <v>25.0</v>
      </c>
      <c r="C47" s="58">
        <f>(B3*80%)/B47</f>
        <v>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56" t="s">
        <v>40</v>
      </c>
      <c r="B48" s="57">
        <v>15.0</v>
      </c>
      <c r="C48" s="58">
        <f>B5/B48</f>
        <v>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59"/>
      <c r="B49" s="60"/>
      <c r="C49" s="6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75</v>
      </c>
      <c r="B50" s="5"/>
      <c r="C50" s="62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6" t="s">
        <v>76</v>
      </c>
      <c r="B51" s="34">
        <f>B11-B9-B16-B23-B39-C47-C48</f>
        <v>-600</v>
      </c>
      <c r="C51" s="62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6" t="s">
        <v>77</v>
      </c>
      <c r="B52" s="34">
        <f>IF(B51&lt;0,0,B51*0.15)</f>
        <v>0</v>
      </c>
      <c r="C52" s="33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8"/>
      <c r="B53" s="41"/>
      <c r="C53" s="4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78</v>
      </c>
      <c r="B54" s="5"/>
      <c r="C54" s="33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6" t="s">
        <v>79</v>
      </c>
      <c r="B55" s="42">
        <f>B42-B52</f>
        <v>-600</v>
      </c>
      <c r="C55" s="33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6" t="s">
        <v>80</v>
      </c>
      <c r="B56" s="42">
        <f>B55/12</f>
        <v>-50</v>
      </c>
      <c r="C56" s="33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8"/>
      <c r="B57" s="41"/>
      <c r="C57" s="4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81</v>
      </c>
      <c r="B58" s="5"/>
      <c r="C58" s="33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6" t="s">
        <v>82</v>
      </c>
      <c r="B59" s="63" t="str">
        <f>B11/(B7)</f>
        <v>#DIV/0!</v>
      </c>
      <c r="C59" s="33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6" t="s">
        <v>83</v>
      </c>
      <c r="B60" s="63" t="str">
        <f>(B11-B9)/(B7)</f>
        <v>#DIV/0!</v>
      </c>
      <c r="C60" s="33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6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6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6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6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6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6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6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6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6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6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6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6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6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6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6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6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6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6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6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6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6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6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6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6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6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6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6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6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6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6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6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6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6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6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6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6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6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6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6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6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6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6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6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6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6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6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6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6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6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6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6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6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6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6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6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6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6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6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6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6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6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6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6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6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6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6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6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6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6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6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6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6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6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6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6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6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6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6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6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6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6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6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6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6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6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6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6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6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6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6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6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6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6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6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6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6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6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6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6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6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6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6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6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6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6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6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6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6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6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6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6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6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6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6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6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6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6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6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6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6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6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6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6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6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6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6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6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6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6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6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6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6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6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6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6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6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6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6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6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6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6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6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6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6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6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6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6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6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6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6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6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6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6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6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6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6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6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6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6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6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6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6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6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6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6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6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6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6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6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6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6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6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6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6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6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6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6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6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6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6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6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6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6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6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6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6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6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6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6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6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6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6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6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6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6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6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6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6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6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6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6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6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6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6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6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6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6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6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6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6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6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6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6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6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6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6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6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6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6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6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6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6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6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6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6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6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6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6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6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6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6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6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6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6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6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6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6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6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6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6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6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6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6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6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6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6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6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6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6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6.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6.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6.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6.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6.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6.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6.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6.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6.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6.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6.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6.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6.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6.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6.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6.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6.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6.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6.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6.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6.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6.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6.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6.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6.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6.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6.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6.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6.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6.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6.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6.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6.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6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6.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6.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6.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6.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6.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6.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6.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6.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6.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6.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6.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6.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6.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6.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6.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6.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6.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6.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6.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6.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6.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6.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6.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6.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6.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6.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6.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6.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6.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6.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6.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6.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6.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6.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6.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6.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6.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6.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6.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6.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6.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6.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6.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6.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6.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6.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6.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6.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6.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6.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6.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6.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6.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6.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6.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6.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6.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6.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6.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6.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6.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6.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6.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6.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6.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6.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6.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6.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6.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6.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6.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6.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6.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6.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6.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6.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6.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6.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6.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6.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6.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6.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6.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6.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6.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6.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6.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6.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6.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6.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6.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6.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6.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6.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6.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6.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6.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6.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6.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6.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6.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6.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6.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6.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6.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6.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6.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6.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6.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6.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6.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6.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6.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6.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6.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6.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6.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6.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6.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6.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6.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6.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6.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6.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6.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6.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6.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6.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6.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6.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6.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6.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6.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6.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6.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6.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6.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6.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6.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6.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6.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6.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6.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6.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6.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6.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6.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6.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6.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6.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6.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6.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6.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6.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6.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6.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6.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6.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6.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6.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6.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6.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6.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6.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6.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6.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6.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6.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6.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6.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6.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6.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6.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6.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6.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6.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6.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6.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6.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6.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6.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6.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6.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6.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6.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6.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6.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6.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6.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6.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6.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6.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6.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6.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6.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6.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6.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6.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6.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6.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6.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6.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6.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6.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6.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6.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6.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6.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6.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6.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6.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6.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6.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6.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6.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6.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6.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6.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6.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6.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6.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6.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6.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6.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6.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6.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6.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6.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6.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6.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6.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6.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6.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6.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6.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6.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6.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6.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6.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6.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6.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6.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6.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6.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6.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6.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6.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6.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6.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6.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6.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6.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6.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6.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6.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6.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6.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6.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6.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6.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6.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6.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6.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6.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6.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6.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6.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6.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6.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6.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6.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6.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6.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6.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6.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6.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6.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6.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6.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6.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6.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6.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6.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6.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6.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6.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6.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6.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6.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6.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6.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6.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6.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6.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6.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6.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6.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6.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6.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6.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6.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6.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6.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6.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6.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6.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6.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6.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6.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6.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6.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6.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6.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6.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6.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6.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6.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6.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6.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6.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6.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6.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6.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6.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6.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6.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6.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6.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6.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6.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6.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6.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6.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6.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6.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6.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6.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6.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6.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6.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6.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6.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6.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6.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6.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6.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6.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6.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6.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6.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6.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6.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6.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6.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6.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6.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6.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6.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6.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6.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6.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6.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6.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6.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6.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6.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6.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6.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6.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6.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6.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6.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6.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6.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6.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6.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6.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6.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6.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6.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6.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6.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6.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6.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6.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6.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6.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6.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6.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6.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6.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6.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6.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6.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6.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6.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6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6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6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6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6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6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6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6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6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6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6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6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6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6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6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6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6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6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6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6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6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6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6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6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6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6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6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6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6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6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6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6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6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6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6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6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6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6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6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6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6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6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6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6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6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6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6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6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6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6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6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6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6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6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6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6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6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6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6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6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6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6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6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6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6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6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6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6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6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6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6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6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6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6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6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6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6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6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6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6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6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6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6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6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6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6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6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6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6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6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6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6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6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6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6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6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6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6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6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6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6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6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6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6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6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6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6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6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6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6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6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6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6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6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6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6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6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6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6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6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6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6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6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6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6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6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6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6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6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6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6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6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6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6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6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6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6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6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6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6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6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6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6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6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6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6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6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6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6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6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6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6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6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6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6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6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6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6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6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6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6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6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6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6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6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6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6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6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6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6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6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6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6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6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6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6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6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6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6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6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6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6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6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6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6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6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6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6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6.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6.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6.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6.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6.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6.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6.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6.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6.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6.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6.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6.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6.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6.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6.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6.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6.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6.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6.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6.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6.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6.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6.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6.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6.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6.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6.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6.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6.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6.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6.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6.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6.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6.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6.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6.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6.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6.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6.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6.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6.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6.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6.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6.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6.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6.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6.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6.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6.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6.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6.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6.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6.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6.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6.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6.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6.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6.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6.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6.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6.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6.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6.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6.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6.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6.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6.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6.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6.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6.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6.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6.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6.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3">
    <mergeCell ref="A30:B30"/>
    <mergeCell ref="A41:B41"/>
    <mergeCell ref="A45:C45"/>
    <mergeCell ref="A50:B50"/>
    <mergeCell ref="A54:B54"/>
    <mergeCell ref="A58:B58"/>
    <mergeCell ref="A1:C1"/>
    <mergeCell ref="A2:B2"/>
    <mergeCell ref="A13:B13"/>
    <mergeCell ref="A18:B18"/>
    <mergeCell ref="A22:B22"/>
    <mergeCell ref="A25:B25"/>
    <mergeCell ref="A29:B29"/>
  </mergeCells>
  <hyperlinks>
    <hyperlink r:id="rId1" ref="A30"/>
  </hyperlinks>
  <printOptions/>
  <pageMargins bottom="1.0" footer="0.0" header="0.0" left="1.0" right="1.0" top="1.0"/>
  <pageSetup orientation="portrait"/>
  <headerFooter>
    <oddFooter>&amp;C000000000000&amp;P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