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 Plus-Value Net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€&quot;"/>
    <numFmt numFmtId="165" formatCode="+#,##0;-#,##0;0"/>
  </numFmts>
  <fonts count="5">
    <font>
      <name val="Calibri"/>
      <family val="2"/>
      <color theme="1"/>
      <sz val="11"/>
      <scheme val="minor"/>
    </font>
    <font>
      <b val="1"/>
      <color rgb="001B4332"/>
      <sz val="14"/>
    </font>
    <font>
      <i val="1"/>
      <color rgb="00606060"/>
      <sz val="9"/>
    </font>
    <font>
      <b val="1"/>
      <color rgb="001B4332"/>
      <sz val="11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EDE8DC"/>
        <bgColor rgb="00EDE8DC"/>
      </patternFill>
    </fill>
    <fill>
      <patternFill patternType="solid">
        <fgColor rgb="00FFF4D4"/>
        <bgColor rgb="00FFF4D4"/>
      </patternFill>
    </fill>
    <fill>
      <patternFill patternType="solid">
        <fgColor rgb="00D6E8DD"/>
        <bgColor rgb="00D6E8DD"/>
      </patternFill>
    </fill>
    <fill>
      <patternFill patternType="solid">
        <fgColor rgb="00FFE8D6"/>
        <bgColor rgb="00FFE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3" borderId="0" pivotButton="0" quotePrefix="0" xfId="0"/>
    <xf numFmtId="1" fontId="0" fillId="3" borderId="0" pivotButton="0" quotePrefix="0" xfId="0"/>
    <xf numFmtId="0" fontId="0" fillId="3" borderId="0" pivotButton="0" quotePrefix="0" xfId="0"/>
    <xf numFmtId="164" fontId="0" fillId="4" borderId="0" pivotButton="0" quotePrefix="0" xfId="0"/>
    <xf numFmtId="0" fontId="4" fillId="0" borderId="0" pivotButton="0" quotePrefix="0" xfId="0"/>
    <xf numFmtId="164" fontId="4" fillId="4" borderId="0" pivotButton="0" quotePrefix="0" xfId="0"/>
    <xf numFmtId="10" fontId="0" fillId="4" borderId="0" pivotButton="0" quotePrefix="0" xfId="0"/>
    <xf numFmtId="0" fontId="3" fillId="5" borderId="0" pivotButton="0" quotePrefix="0" xfId="0"/>
    <xf numFmtId="165" fontId="0" fillId="4" borderId="0" pivotButton="0" quotePrefix="0" xfId="0"/>
    <xf numFmtId="0" fontId="2" fillId="2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5" customWidth="1" min="3" max="3"/>
    <col width="55" customWidth="1" min="4" max="4"/>
  </cols>
  <sheetData>
    <row r="1">
      <c r="A1" s="1" t="inlineStr">
        <is>
          <t>CALCULATEUR PLUS-VALUE IMMOBILIERE</t>
        </is>
      </c>
    </row>
    <row r="2">
      <c r="A2" s="2" t="inlineStr">
        <is>
          <t>La methode Emeline SIRON  -  Regime particulier + mode LMNP reforme 2025 (art. 84 LF 2025)</t>
        </is>
      </c>
    </row>
    <row r="3">
      <c r="A3" s="2" t="inlineStr">
        <is>
          <t>Cases jaunes = a remplir   |   Cases vertes = resultats automatiques   |   A jour au 12/05/2026</t>
        </is>
      </c>
    </row>
    <row r="5">
      <c r="A5" s="3" t="inlineStr">
        <is>
          <t>1. DONNEES DE L'OPERATION</t>
        </is>
      </c>
    </row>
    <row r="6">
      <c r="A6" t="inlineStr">
        <is>
          <t>Prix de vente</t>
        </is>
      </c>
      <c r="B6" s="4" t="n">
        <v>280000</v>
      </c>
    </row>
    <row r="7">
      <c r="A7" t="inlineStr">
        <is>
          <t>Prix d'achat</t>
        </is>
      </c>
      <c r="B7" s="4" t="n">
        <v>180000</v>
      </c>
    </row>
    <row r="8">
      <c r="A8" t="inlineStr">
        <is>
          <t>Frais d'acquisition reels (notaire, agence)</t>
        </is>
      </c>
      <c r="B8" s="4" t="n">
        <v>14400</v>
      </c>
    </row>
    <row r="9">
      <c r="A9" t="inlineStr">
        <is>
          <t>Travaux realises (factures probantes)</t>
        </is>
      </c>
      <c r="B9" s="4" t="n">
        <v>20000</v>
      </c>
    </row>
    <row r="10">
      <c r="A10" t="inlineStr">
        <is>
          <t>Frais de cession (diagnostics, agence)</t>
        </is>
      </c>
      <c r="B10" s="4" t="n">
        <v>5000</v>
      </c>
    </row>
    <row r="11">
      <c r="A11" t="inlineStr">
        <is>
          <t>Duree de detention (annees)</t>
        </is>
      </c>
      <c r="B11" s="5" t="n">
        <v>12</v>
      </c>
    </row>
    <row r="12">
      <c r="A12" t="inlineStr">
        <is>
          <t>Residence principale ?</t>
        </is>
      </c>
      <c r="B12" s="6" t="inlineStr">
        <is>
          <t>NON</t>
        </is>
      </c>
      <c r="D12" s="2" t="inlineStr">
        <is>
          <t>OUI = exoneration totale (art. 150 U II 1 CGI)</t>
        </is>
      </c>
    </row>
    <row r="14">
      <c r="A14" s="3" t="inlineStr">
        <is>
          <t>2. REGIME FISCAL DU BIEN</t>
        </is>
      </c>
    </row>
    <row r="15">
      <c r="A15" t="inlineStr">
        <is>
          <t>Type de location pendant la detention</t>
        </is>
      </c>
      <c r="B15" s="6" t="inlineStr">
        <is>
          <t>LMNP reel</t>
        </is>
      </c>
      <c r="D15" s="2" t="inlineStr">
        <is>
          <t>Particulier (nu, micro-BIC, residence services), LMNP reel</t>
        </is>
      </c>
    </row>
    <row r="16">
      <c r="A16" t="inlineStr">
        <is>
          <t>Date de cession apres le 15/02/2025 ?</t>
        </is>
      </c>
      <c r="B16" s="6" t="inlineStr">
        <is>
          <t>OUI</t>
        </is>
      </c>
      <c r="D16" s="2" t="inlineStr">
        <is>
          <t>OUI = reforme LMNP applicable</t>
        </is>
      </c>
    </row>
    <row r="17">
      <c r="A17" t="inlineStr">
        <is>
          <t>Amortissements cumules pratiques (LMNP reel)</t>
        </is>
      </c>
      <c r="B17" s="4" t="n">
        <v>48000</v>
      </c>
      <c r="D17" s="2" t="inlineStr">
        <is>
          <t>Total amorti sur la duree de location, regime reel</t>
        </is>
      </c>
    </row>
    <row r="19">
      <c r="A19" s="3" t="inlineStr">
        <is>
          <t>3. OPTIONS DE CALCUL (forfaits fiscaux)</t>
        </is>
      </c>
    </row>
    <row r="20">
      <c r="A20" t="inlineStr">
        <is>
          <t>Frais d'acquisition forfaitaires (7,5%)</t>
        </is>
      </c>
      <c r="B20" s="7">
        <f>B7*0.075</f>
        <v/>
      </c>
      <c r="D20" s="2" t="inlineStr">
        <is>
          <t>Si frais reels &lt; 7,5% du prix, on prend le forfait</t>
        </is>
      </c>
    </row>
    <row r="21">
      <c r="A21" t="inlineStr">
        <is>
          <t>Forfait travaux 15% (si detention &gt; 5 ans)</t>
        </is>
      </c>
      <c r="B21" s="7">
        <f>IF(B10&gt;5,B7*0.15,0)</f>
        <v/>
      </c>
      <c r="D21" s="2" t="inlineStr">
        <is>
          <t>Sans justificatif si bien detenu &gt; 5 ans</t>
        </is>
      </c>
    </row>
    <row r="22">
      <c r="A22" t="inlineStr">
        <is>
          <t>Frais retenus (max entre reel et forfait)</t>
        </is>
      </c>
      <c r="B22" s="7">
        <f>MAX(B8,B20)</f>
        <v/>
      </c>
    </row>
    <row r="23">
      <c r="A23" t="inlineStr">
        <is>
          <t>Travaux retenus (max entre reel et forfait)</t>
        </is>
      </c>
      <c r="B23" s="7">
        <f>MAX(B9,B21)</f>
        <v/>
      </c>
    </row>
    <row r="25">
      <c r="A25" s="3" t="inlineStr">
        <is>
          <t>4. CALCUL DE LA PLUS-VALUE BRUTE</t>
        </is>
      </c>
    </row>
    <row r="26">
      <c r="A26" t="inlineStr">
        <is>
          <t>Prix d'acquisition corrige</t>
        </is>
      </c>
      <c r="B26" s="7">
        <f>B7+B22+B23</f>
        <v/>
      </c>
      <c r="D26" s="2" t="inlineStr">
        <is>
          <t>Prix achat + frais retenus + travaux retenus</t>
        </is>
      </c>
    </row>
    <row r="27">
      <c r="A27" t="inlineStr">
        <is>
          <t>Amortissements a reintegrer (reforme LMNP 2025)</t>
        </is>
      </c>
      <c r="B27" s="7">
        <f>IF(AND(B15="LMNP reel",B16="OUI"),B17,0)</f>
        <v/>
      </c>
      <c r="D27" s="2" t="inlineStr">
        <is>
          <t>Reintegres uniquement si LMNP reel ET cession &gt;= 15/02/2025</t>
        </is>
      </c>
    </row>
    <row r="28">
      <c r="A28" t="inlineStr">
        <is>
          <t>Prix d'acquisition NET (apres reintegration)</t>
        </is>
      </c>
      <c r="B28" s="7">
        <f>B26-B27</f>
        <v/>
      </c>
      <c r="D28" s="2" t="inlineStr">
        <is>
          <t>Art. 150 VB CGI modifie par art. 84 LF 2025</t>
        </is>
      </c>
    </row>
    <row r="29">
      <c r="A29" s="8" t="inlineStr">
        <is>
          <t>PLUS-VALUE BRUTE</t>
        </is>
      </c>
      <c r="B29" s="9">
        <f>B6-B28-B11</f>
        <v/>
      </c>
      <c r="D29" s="2" t="inlineStr">
        <is>
          <t>Prix vente - Prix d'acquisition NET - Frais de cession</t>
        </is>
      </c>
    </row>
    <row r="31">
      <c r="A31" s="3" t="inlineStr">
        <is>
          <t>5. ABATTEMENTS POUR DUREE DE DETENTION</t>
        </is>
      </c>
    </row>
    <row r="32">
      <c r="A32" t="inlineStr">
        <is>
          <t>Abattement IR (art. 150 VC CGI)</t>
        </is>
      </c>
      <c r="B32" s="10">
        <f>IF(B10&lt;6,0,IF(B10&lt;=21,(B10-5)*0.06,IF(B10=22,0.96+0.04,1)))</f>
        <v/>
      </c>
      <c r="D32" s="2" t="inlineStr">
        <is>
          <t>6%/an de l'an 6 a 21, 4% an 22, exo a 22 ans</t>
        </is>
      </c>
    </row>
    <row r="33">
      <c r="A33" t="inlineStr">
        <is>
          <t>Abattement Prelevements sociaux (art. 150 VC bis)</t>
        </is>
      </c>
      <c r="B33" s="10">
        <f>IF(B10&lt;6,0,IF(B10&lt;=21,(B10-5)*0.0165,IF(B10=22,0.264+0.016,IF(B10&lt;=30,0.28+(B10-22)*0.09,1))))</f>
        <v/>
      </c>
      <c r="D33" s="2" t="inlineStr">
        <is>
          <t>1,65%/an de l'an 6 a 21, 1,60% an 22, 9%/an 23 a 30, exo a 30 ans</t>
        </is>
      </c>
    </row>
    <row r="34">
      <c r="A34" t="inlineStr">
        <is>
          <t>Plus-value imposable IR</t>
        </is>
      </c>
      <c r="B34" s="7">
        <f>B29*(1-B32)</f>
        <v/>
      </c>
    </row>
    <row r="35">
      <c r="A35" t="inlineStr">
        <is>
          <t>Plus-value imposable PS</t>
        </is>
      </c>
      <c r="B35" s="7">
        <f>B29*(1-B33)</f>
        <v/>
      </c>
    </row>
    <row r="37">
      <c r="A37" s="3" t="inlineStr">
        <is>
          <t>6. IMPOTS ET TAXES</t>
        </is>
      </c>
    </row>
    <row r="38">
      <c r="A38" t="inlineStr">
        <is>
          <t>Impot sur le revenu (19%)</t>
        </is>
      </c>
      <c r="B38" s="7">
        <f>B34*0.19</f>
        <v/>
      </c>
    </row>
    <row r="39">
      <c r="A39" t="inlineStr">
        <is>
          <t>Prelevements sociaux (17,2%)</t>
        </is>
      </c>
      <c r="B39" s="7">
        <f>B35*0.172</f>
        <v/>
      </c>
    </row>
    <row r="40">
      <c r="A40" t="inlineStr">
        <is>
          <t>Surtaxe PV nette IR &gt; 50 000 EUR</t>
        </is>
      </c>
      <c r="B40" s="7">
        <f>IF(B34&lt;=50000,0,IF(B34&lt;=100000,B34*0.02,IF(B34&lt;=150000,B34*0.03,IF(B34&lt;=200000,B34*0.04,IF(B34&lt;=250000,B34*0.05,B34*0.06)))))</f>
        <v/>
      </c>
      <c r="D40" s="2" t="inlineStr">
        <is>
          <t>Art. 1609 nonies G CGI, paliers 2% a 6%</t>
        </is>
      </c>
    </row>
    <row r="41">
      <c r="A41" s="8" t="inlineStr">
        <is>
          <t>TOTAL IMPOTS ET TAXES</t>
        </is>
      </c>
      <c r="B41" s="9">
        <f>IF(B12="OUI",0,B38+B39+B40)</f>
        <v/>
      </c>
    </row>
    <row r="43">
      <c r="A43" s="3" t="inlineStr">
        <is>
          <t>7. RESULTAT NET</t>
        </is>
      </c>
    </row>
    <row r="44">
      <c r="A44" s="8" t="inlineStr">
        <is>
          <t>PLUS-VALUE NETTE APRES IMPOT</t>
        </is>
      </c>
      <c r="B44" s="9">
        <f>B29-B41</f>
        <v/>
      </c>
    </row>
    <row r="45">
      <c r="A45" t="inlineStr">
        <is>
          <t>Taux d'imposition effectif</t>
        </is>
      </c>
      <c r="B45" s="10">
        <f>IF(B29=0,0,B41/B29)</f>
        <v/>
      </c>
    </row>
    <row r="46">
      <c r="A46" t="inlineStr">
        <is>
          <t>Net vendeur (Prix vente - Impots - Frais cession)</t>
        </is>
      </c>
      <c r="B46" s="7">
        <f>B6-B41-B11</f>
        <v/>
      </c>
    </row>
    <row r="48">
      <c r="A48" s="11" t="inlineStr">
        <is>
          <t>8. COMPARAISON AVANT / APRES REFORME LMNP 2025</t>
        </is>
      </c>
    </row>
    <row r="49">
      <c r="A49" t="inlineStr">
        <is>
          <t>PV brute si pas de reintegration (avant reforme)</t>
        </is>
      </c>
      <c r="B49" s="7">
        <f>B6-B26-B11</f>
        <v/>
      </c>
    </row>
    <row r="50">
      <c r="A50" t="inlineStr">
        <is>
          <t>Surcout d'impot du a la reforme</t>
        </is>
      </c>
      <c r="B50" s="7">
        <f>IF(AND(B15="LMNP reel",B16="OUI"),B27*(1-B32)*0.19+B27*(1-B33)*0.172,0)</f>
        <v/>
      </c>
      <c r="D50" s="2" t="inlineStr">
        <is>
          <t>Estimation : reintegration * (IR + PS) apres abattements</t>
        </is>
      </c>
    </row>
    <row r="51">
      <c r="A51" t="inlineStr">
        <is>
          <t>Variation PV nette imposable</t>
        </is>
      </c>
      <c r="B51" s="12">
        <f>B29-B49</f>
        <v/>
      </c>
    </row>
    <row r="53">
      <c r="A53" s="13" t="inlineStr">
        <is>
          <t>ATTENTION : la reforme LMNP 2025 vise TOUS les amortissements pratiques</t>
        </is>
      </c>
    </row>
    <row r="54">
      <c r="A54" s="2" t="inlineStr">
        <is>
          <t>y compris ceux anterieurs au 15/02/2025 (art. 150 VB CGI modifie).</t>
        </is>
      </c>
    </row>
    <row r="55">
      <c r="A55" s="2" t="inlineStr"/>
    </row>
    <row r="56">
      <c r="A56" s="2" t="inlineStr">
        <is>
          <t>Exceptions a la reintegration (B16 reste a 0 dans ces cas) :</t>
        </is>
      </c>
    </row>
    <row r="57">
      <c r="A57" s="2" t="inlineStr">
        <is>
          <t xml:space="preserve">  - Bien loue en micro-BIC : pas d'amortissement pratique</t>
        </is>
      </c>
    </row>
    <row r="58">
      <c r="A58" s="2" t="inlineStr">
        <is>
          <t xml:space="preserve">  - Residence de services geree (EHPAD, etudiante, senior) : exonere</t>
        </is>
      </c>
    </row>
    <row r="59">
      <c r="A59" s="2" t="inlineStr">
        <is>
          <t xml:space="preserve">  - Transmission par donation ou succession : non concernee</t>
        </is>
      </c>
    </row>
    <row r="60">
      <c r="A60" s="2" t="inlineStr"/>
    </row>
    <row r="61">
      <c r="A61" s="2" t="inlineStr">
        <is>
          <t>Cet outil est un guide pedagogique. Pour une operation reelle,</t>
        </is>
      </c>
    </row>
    <row r="62">
      <c r="A62" s="2" t="inlineStr">
        <is>
          <t>fais valider par ton expert-comptable ou notaire (consequences chiffrees importantes).</t>
        </is>
      </c>
    </row>
    <row r="65">
      <c r="A65" s="14" t="inlineStr">
        <is>
          <t>emeline-siron.fr  -  Methode Emeline SIRON  -  A jour au 12/05/2026</t>
        </is>
      </c>
    </row>
  </sheetData>
  <mergeCells count="22">
    <mergeCell ref="A5:D5"/>
    <mergeCell ref="A53:D53"/>
    <mergeCell ref="A62:D62"/>
    <mergeCell ref="A43:D43"/>
    <mergeCell ref="A19:D19"/>
    <mergeCell ref="A31:D31"/>
    <mergeCell ref="A58:D58"/>
    <mergeCell ref="A48:D48"/>
    <mergeCell ref="A59:D59"/>
    <mergeCell ref="A60:D60"/>
    <mergeCell ref="A1:D1"/>
    <mergeCell ref="A61:D61"/>
    <mergeCell ref="A54:D54"/>
    <mergeCell ref="A25:D25"/>
    <mergeCell ref="A65:D65"/>
    <mergeCell ref="A37:D37"/>
    <mergeCell ref="A56:D56"/>
    <mergeCell ref="A3:D3"/>
    <mergeCell ref="A55:D55"/>
    <mergeCell ref="A57:D57"/>
    <mergeCell ref="A2:D2"/>
    <mergeCell ref="A14:D14"/>
  </mergeCells>
  <dataValidations count="3">
    <dataValidation sqref="B12" showDropDown="0" showInputMessage="0" showErrorMessage="0" allowBlank="0" type="list">
      <formula1>"OUI,NON"</formula1>
    </dataValidation>
    <dataValidation sqref="B15" showDropDown="0" showInputMessage="0" showErrorMessage="0" allowBlank="0" type="list">
      <formula1>"Particulier,LMNP reel"</formula1>
    </dataValidation>
    <dataValidation sqref="B16" showDropDown="0" showInputMessage="0" showErrorMessage="0" allowBlank="0" type="list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2026-05-12T10:43:42Z</dcterms:created>
  <dcterms:modified xmlns:dcterms="http://purl.org/dc/terms/" xmlns:xsi="http://www.w3.org/2001/XMLSchema-instance" xsi:type="dcterms:W3CDTF">2026-05-12T10:43:42Z</dcterms:modified>
</cp:coreProperties>
</file>