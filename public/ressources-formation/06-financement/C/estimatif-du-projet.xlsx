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UNbjlnz+pVpFHkZA0DuTRlgKsG0HJm96oykg2JqhLGA="/>
    </ext>
  </extLst>
</workbook>
</file>

<file path=xl/sharedStrings.xml><?xml version="1.0" encoding="utf-8"?>
<sst xmlns="http://schemas.openxmlformats.org/spreadsheetml/2006/main" count="33" uniqueCount="27">
  <si>
    <t>ESTIMATION DE VALEUR</t>
  </si>
  <si>
    <t>Il s’agit d’un immeuble/maison/terrain dans la ville de XXXXXXX.</t>
  </si>
  <si>
    <r>
      <rPr>
        <rFont val="Arial, sans-serif"/>
        <color rgb="FF000000"/>
        <sz val="12.0"/>
      </rPr>
      <t xml:space="preserve">Surfuce totale </t>
    </r>
    <r>
      <rPr>
        <rFont val="Arial, sans-serif"/>
        <b/>
        <color rgb="FF000000"/>
        <sz val="12.0"/>
      </rPr>
      <t>100 M2</t>
    </r>
  </si>
  <si>
    <t>PRIX TTC</t>
  </si>
  <si>
    <t>PRIX AU M2</t>
  </si>
  <si>
    <t>Prix d’achat</t>
  </si>
  <si>
    <t>Frais d'agence</t>
  </si>
  <si>
    <t>Droit de mutation</t>
  </si>
  <si>
    <t>Coût du crédit</t>
  </si>
  <si>
    <t>FRAIS AQUISITION</t>
  </si>
  <si>
    <t>TRAVAUX</t>
  </si>
  <si>
    <t>Géomètre</t>
  </si>
  <si>
    <t>Notaire</t>
  </si>
  <si>
    <t>Enedis + Eau</t>
  </si>
  <si>
    <t>Architecte</t>
  </si>
  <si>
    <t>Gros oeuvre</t>
  </si>
  <si>
    <t>Second oeuvre</t>
  </si>
  <si>
    <t>Aménagements intérieurs</t>
  </si>
  <si>
    <t>Assurances</t>
  </si>
  <si>
    <t>Parkings</t>
  </si>
  <si>
    <t>Autre frais</t>
  </si>
  <si>
    <t>COÛTS DES TRAVAUX</t>
  </si>
  <si>
    <t>SYNTHÈSE</t>
  </si>
  <si>
    <t>Prix de revient</t>
  </si>
  <si>
    <t>Estimation de valeur</t>
  </si>
  <si>
    <t>??</t>
  </si>
  <si>
    <t>PLUE-VALUE LATENTE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</si>
</sst>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€-1]"/>
    <numFmt numFmtId="165" formatCode="#,##0&quot;€&quot;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/>
    <font>
      <sz val="12.0"/>
      <color rgb="FF000000"/>
      <name val="Arial"/>
    </font>
    <font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C6E55"/>
        <bgColor rgb="FF2C6E5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4574B6"/>
      </left>
      <top style="thin">
        <color rgb="FF4574B6"/>
      </top>
    </border>
    <border>
      <top style="thin">
        <color rgb="FF4574B6"/>
      </top>
    </border>
    <border>
      <right style="thin">
        <color rgb="FF4574B6"/>
      </right>
      <top style="thin">
        <color rgb="FF4574B6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0" fillId="3" fontId="5" numFmtId="0" xfId="0" applyFont="1"/>
    <xf borderId="10" fillId="3" fontId="5" numFmtId="0" xfId="0" applyAlignment="1" applyBorder="1" applyFont="1">
      <alignment horizontal="center" vertical="center"/>
    </xf>
    <xf borderId="11" fillId="3" fontId="6" numFmtId="0" xfId="0" applyAlignment="1" applyBorder="1" applyFont="1">
      <alignment horizontal="center" shrinkToFit="0" vertical="center" wrapText="0"/>
    </xf>
    <xf borderId="12" fillId="3" fontId="6" numFmtId="0" xfId="0" applyAlignment="1" applyBorder="1" applyFont="1">
      <alignment horizontal="center" shrinkToFit="0" vertical="center" wrapText="0"/>
    </xf>
    <xf borderId="13" fillId="3" fontId="5" numFmtId="0" xfId="0" applyAlignment="1" applyBorder="1" applyFont="1">
      <alignment horizontal="center" vertical="center"/>
    </xf>
    <xf borderId="14" fillId="3" fontId="7" numFmtId="164" xfId="0" applyAlignment="1" applyBorder="1" applyFont="1" applyNumberFormat="1">
      <alignment horizontal="center" shrinkToFit="0" vertical="center" wrapText="0"/>
    </xf>
    <xf borderId="15" fillId="3" fontId="7" numFmtId="164" xfId="0" applyAlignment="1" applyBorder="1" applyFont="1" applyNumberFormat="1">
      <alignment horizontal="center" shrinkToFit="0" vertical="center" wrapText="0"/>
    </xf>
    <xf borderId="0" fillId="3" fontId="7" numFmtId="0" xfId="0" applyAlignment="1" applyFont="1">
      <alignment horizontal="center" shrinkToFit="0" vertical="center" wrapText="0"/>
    </xf>
    <xf borderId="13" fillId="3" fontId="7" numFmtId="0" xfId="0" applyAlignment="1" applyBorder="1" applyFont="1">
      <alignment horizontal="center" shrinkToFit="0" vertical="center" wrapText="0"/>
    </xf>
    <xf borderId="16" fillId="3" fontId="6" numFmtId="0" xfId="0" applyAlignment="1" applyBorder="1" applyFont="1">
      <alignment horizontal="center" shrinkToFit="0" vertical="center" wrapText="0"/>
    </xf>
    <xf borderId="17" fillId="3" fontId="6" numFmtId="164" xfId="0" applyAlignment="1" applyBorder="1" applyFont="1" applyNumberFormat="1">
      <alignment horizontal="center" shrinkToFit="0" vertical="center" wrapText="0"/>
    </xf>
    <xf borderId="18" fillId="3" fontId="6" numFmtId="164" xfId="0" applyAlignment="1" applyBorder="1" applyFont="1" applyNumberFormat="1">
      <alignment horizontal="center" shrinkToFit="0" vertical="center" wrapText="0"/>
    </xf>
    <xf borderId="10" fillId="3" fontId="6" numFmtId="0" xfId="0" applyAlignment="1" applyBorder="1" applyFont="1">
      <alignment horizontal="center" shrinkToFit="0" vertical="center" wrapText="0"/>
    </xf>
    <xf borderId="19" fillId="3" fontId="6" numFmtId="164" xfId="0" applyAlignment="1" applyBorder="1" applyFont="1" applyNumberFormat="1">
      <alignment horizontal="center" shrinkToFit="0" vertical="center" wrapText="0"/>
    </xf>
    <xf borderId="20" fillId="3" fontId="6" numFmtId="164" xfId="0" applyAlignment="1" applyBorder="1" applyFont="1" applyNumberFormat="1">
      <alignment horizontal="center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17" fillId="3" fontId="7" numFmtId="164" xfId="0" applyAlignment="1" applyBorder="1" applyFont="1" applyNumberFormat="1">
      <alignment horizontal="center" shrinkToFit="0" vertical="center" wrapText="0"/>
    </xf>
    <xf borderId="18" fillId="3" fontId="7" numFmtId="164" xfId="0" applyAlignment="1" applyBorder="1" applyFont="1" applyNumberFormat="1">
      <alignment horizontal="center" shrinkToFit="0" vertical="center" wrapText="0"/>
    </xf>
    <xf borderId="21" fillId="4" fontId="6" numFmtId="0" xfId="0" applyAlignment="1" applyBorder="1" applyFill="1" applyFont="1">
      <alignment horizontal="center" shrinkToFit="0" vertical="center" wrapText="0"/>
    </xf>
    <xf borderId="22" fillId="4" fontId="7" numFmtId="164" xfId="0" applyAlignment="1" applyBorder="1" applyFont="1" applyNumberFormat="1">
      <alignment horizontal="center" shrinkToFit="0" vertical="center" wrapText="0"/>
    </xf>
    <xf borderId="23" fillId="4" fontId="7" numFmtId="0" xfId="0" applyAlignment="1" applyBorder="1" applyFont="1">
      <alignment horizontal="center" shrinkToFit="0" vertical="center" wrapText="0"/>
    </xf>
    <xf borderId="0" fillId="3" fontId="7" numFmtId="165" xfId="0" applyAlignment="1" applyFont="1" applyNumberFormat="1">
      <alignment horizontal="center" shrinkToFit="0" vertical="center" wrapText="0"/>
    </xf>
    <xf borderId="0" fillId="3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885825</xdr:colOff>
      <xdr:row>0</xdr:row>
      <xdr:rowOff>209550</xdr:rowOff>
    </xdr:from>
    <xdr:ext cx="1495425" cy="419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1.63"/>
    <col customWidth="1" min="3" max="3" width="22.25"/>
    <col customWidth="1" min="4" max="4" width="20.88"/>
  </cols>
  <sheetData>
    <row r="1" ht="78.75" customHeight="1">
      <c r="A1" s="1"/>
    </row>
    <row r="2" ht="31.5" customHeight="1">
      <c r="A2" s="2" t="s">
        <v>0</v>
      </c>
      <c r="B2" s="3"/>
      <c r="C2" s="3"/>
      <c r="D2" s="4"/>
    </row>
    <row r="3" ht="30.75" customHeight="1">
      <c r="A3" s="5" t="s">
        <v>1</v>
      </c>
      <c r="B3" s="6"/>
      <c r="C3" s="6"/>
      <c r="D3" s="7"/>
    </row>
    <row r="4" ht="30.75" customHeight="1">
      <c r="A4" s="8" t="s">
        <v>2</v>
      </c>
      <c r="B4" s="9"/>
      <c r="C4" s="9"/>
      <c r="D4" s="10"/>
    </row>
    <row r="5" ht="21.0" customHeight="1">
      <c r="A5" s="11"/>
      <c r="B5" s="12"/>
      <c r="C5" s="13" t="s">
        <v>3</v>
      </c>
      <c r="D5" s="14" t="s">
        <v>4</v>
      </c>
    </row>
    <row r="6" ht="21.0" customHeight="1">
      <c r="A6" s="11"/>
      <c r="B6" s="15" t="s">
        <v>5</v>
      </c>
      <c r="C6" s="16">
        <v>184000.0</v>
      </c>
      <c r="D6" s="17">
        <f t="shared" ref="D6:D10" si="1">C6/100</f>
        <v>1840</v>
      </c>
    </row>
    <row r="7" ht="21.0" customHeight="1">
      <c r="A7" s="18"/>
      <c r="B7" s="15" t="s">
        <v>6</v>
      </c>
      <c r="C7" s="16">
        <v>8000.0</v>
      </c>
      <c r="D7" s="17">
        <f t="shared" si="1"/>
        <v>80</v>
      </c>
    </row>
    <row r="8" ht="21.0" customHeight="1">
      <c r="A8" s="18"/>
      <c r="B8" s="19" t="s">
        <v>7</v>
      </c>
      <c r="C8" s="16">
        <v>6000.0</v>
      </c>
      <c r="D8" s="17">
        <f t="shared" si="1"/>
        <v>60</v>
      </c>
    </row>
    <row r="9" ht="21.0" customHeight="1">
      <c r="A9" s="18"/>
      <c r="B9" s="19" t="s">
        <v>8</v>
      </c>
      <c r="C9" s="16">
        <v>2500.0</v>
      </c>
      <c r="D9" s="17">
        <f t="shared" si="1"/>
        <v>25</v>
      </c>
    </row>
    <row r="10" ht="21.0" customHeight="1">
      <c r="A10" s="18"/>
      <c r="B10" s="20" t="s">
        <v>9</v>
      </c>
      <c r="C10" s="21">
        <f>SUM(C6:C9)</f>
        <v>200500</v>
      </c>
      <c r="D10" s="22">
        <f t="shared" si="1"/>
        <v>2005</v>
      </c>
    </row>
    <row r="11" ht="15.75" customHeight="1">
      <c r="A11" s="18"/>
      <c r="B11" s="18"/>
      <c r="C11" s="18"/>
      <c r="D11" s="18"/>
    </row>
    <row r="12" ht="15.75" customHeight="1">
      <c r="A12" s="18"/>
      <c r="B12" s="18"/>
      <c r="C12" s="18"/>
      <c r="D12" s="18"/>
    </row>
    <row r="13" ht="21.0" customHeight="1">
      <c r="A13" s="18"/>
      <c r="B13" s="23" t="s">
        <v>10</v>
      </c>
      <c r="C13" s="13" t="s">
        <v>3</v>
      </c>
      <c r="D13" s="14" t="s">
        <v>4</v>
      </c>
    </row>
    <row r="14" ht="21.0" customHeight="1">
      <c r="A14" s="18"/>
      <c r="B14" s="19" t="s">
        <v>11</v>
      </c>
      <c r="C14" s="16">
        <v>20000.0</v>
      </c>
      <c r="D14" s="17">
        <f t="shared" ref="D14:D23" si="2">C14/100</f>
        <v>200</v>
      </c>
    </row>
    <row r="15" ht="21.0" customHeight="1">
      <c r="A15" s="18"/>
      <c r="B15" s="19" t="s">
        <v>12</v>
      </c>
      <c r="C15" s="16">
        <v>0.0</v>
      </c>
      <c r="D15" s="17">
        <f t="shared" si="2"/>
        <v>0</v>
      </c>
    </row>
    <row r="16" ht="21.0" customHeight="1">
      <c r="A16" s="18"/>
      <c r="B16" s="19" t="s">
        <v>13</v>
      </c>
      <c r="C16" s="16">
        <v>0.0</v>
      </c>
      <c r="D16" s="17">
        <f t="shared" si="2"/>
        <v>0</v>
      </c>
    </row>
    <row r="17" ht="21.0" customHeight="1">
      <c r="A17" s="18"/>
      <c r="B17" s="19" t="s">
        <v>14</v>
      </c>
      <c r="C17" s="16">
        <v>0.0</v>
      </c>
      <c r="D17" s="17">
        <f t="shared" si="2"/>
        <v>0</v>
      </c>
    </row>
    <row r="18" ht="21.0" customHeight="1">
      <c r="A18" s="18"/>
      <c r="B18" s="19" t="s">
        <v>15</v>
      </c>
      <c r="C18" s="16">
        <v>0.0</v>
      </c>
      <c r="D18" s="17">
        <f t="shared" si="2"/>
        <v>0</v>
      </c>
    </row>
    <row r="19" ht="21.0" customHeight="1">
      <c r="A19" s="18"/>
      <c r="B19" s="19" t="s">
        <v>16</v>
      </c>
      <c r="C19" s="16">
        <v>0.0</v>
      </c>
      <c r="D19" s="17">
        <f t="shared" si="2"/>
        <v>0</v>
      </c>
    </row>
    <row r="20" ht="21.0" customHeight="1">
      <c r="A20" s="18"/>
      <c r="B20" s="19" t="s">
        <v>17</v>
      </c>
      <c r="C20" s="16">
        <v>0.0</v>
      </c>
      <c r="D20" s="17">
        <f t="shared" si="2"/>
        <v>0</v>
      </c>
    </row>
    <row r="21" ht="21.0" customHeight="1">
      <c r="A21" s="18"/>
      <c r="B21" s="19" t="s">
        <v>18</v>
      </c>
      <c r="C21" s="16">
        <v>0.0</v>
      </c>
      <c r="D21" s="17">
        <f t="shared" si="2"/>
        <v>0</v>
      </c>
    </row>
    <row r="22" ht="21.0" customHeight="1">
      <c r="A22" s="18"/>
      <c r="B22" s="19" t="s">
        <v>19</v>
      </c>
      <c r="C22" s="16">
        <v>0.0</v>
      </c>
      <c r="D22" s="17">
        <f t="shared" si="2"/>
        <v>0</v>
      </c>
    </row>
    <row r="23" ht="21.0" customHeight="1">
      <c r="A23" s="18"/>
      <c r="B23" s="19" t="s">
        <v>20</v>
      </c>
      <c r="C23" s="16">
        <v>0.0</v>
      </c>
      <c r="D23" s="17">
        <f t="shared" si="2"/>
        <v>0</v>
      </c>
    </row>
    <row r="24" ht="21.0" customHeight="1">
      <c r="A24" s="18"/>
      <c r="B24" s="20" t="s">
        <v>21</v>
      </c>
      <c r="C24" s="24">
        <f t="shared" ref="C24:D24" si="3">SUM(C14:C23)</f>
        <v>20000</v>
      </c>
      <c r="D24" s="25">
        <f t="shared" si="3"/>
        <v>200</v>
      </c>
    </row>
    <row r="25" ht="15.75" customHeight="1">
      <c r="A25" s="18"/>
      <c r="B25" s="18"/>
      <c r="C25" s="18"/>
      <c r="D25" s="18"/>
    </row>
    <row r="26" ht="15.75" customHeight="1">
      <c r="A26" s="18"/>
      <c r="B26" s="18"/>
      <c r="C26" s="18"/>
      <c r="D26" s="18"/>
    </row>
    <row r="27" ht="21.0" customHeight="1">
      <c r="A27" s="18"/>
      <c r="B27" s="23" t="s">
        <v>22</v>
      </c>
      <c r="C27" s="13" t="s">
        <v>3</v>
      </c>
      <c r="D27" s="14" t="s">
        <v>4</v>
      </c>
    </row>
    <row r="28" ht="21.0" customHeight="1">
      <c r="A28" s="18"/>
      <c r="B28" s="19" t="s">
        <v>23</v>
      </c>
      <c r="C28" s="16">
        <f t="shared" ref="C28:D28" si="4">C10+C24</f>
        <v>220500</v>
      </c>
      <c r="D28" s="17">
        <f t="shared" si="4"/>
        <v>2205</v>
      </c>
    </row>
    <row r="29" ht="21.0" customHeight="1">
      <c r="A29" s="18"/>
      <c r="B29" s="26" t="s">
        <v>24</v>
      </c>
      <c r="C29" s="27" t="s">
        <v>25</v>
      </c>
      <c r="D29" s="28" t="s">
        <v>25</v>
      </c>
    </row>
    <row r="30" ht="15.75" customHeight="1">
      <c r="A30" s="18"/>
      <c r="B30" s="18"/>
      <c r="C30" s="18"/>
      <c r="D30" s="18"/>
    </row>
    <row r="31" ht="15.75" customHeight="1">
      <c r="A31" s="18"/>
      <c r="B31" s="18"/>
      <c r="C31" s="18"/>
      <c r="D31" s="18"/>
    </row>
    <row r="32" ht="21.0" customHeight="1">
      <c r="A32" s="18"/>
      <c r="B32" s="29" t="s">
        <v>26</v>
      </c>
      <c r="C32" s="30" t="str">
        <f>C29-C28</f>
        <v>#VALUE!</v>
      </c>
      <c r="D32" s="31" t="s">
        <v>25</v>
      </c>
    </row>
    <row r="33" ht="15.75" customHeight="1">
      <c r="A33" s="18"/>
      <c r="B33" s="18"/>
      <c r="C33" s="18"/>
      <c r="D33" s="18"/>
    </row>
    <row r="34" ht="15.75" customHeight="1">
      <c r="A34" s="18"/>
      <c r="B34" s="18"/>
      <c r="C34" s="18"/>
      <c r="D34" s="18"/>
    </row>
    <row r="35" ht="15.75" customHeight="1">
      <c r="A35" s="18"/>
      <c r="B35" s="18"/>
      <c r="C35" s="18"/>
      <c r="D35" s="18"/>
    </row>
    <row r="36" ht="15.75" customHeight="1">
      <c r="A36" s="18"/>
      <c r="B36" s="18"/>
      <c r="C36" s="18"/>
      <c r="D36" s="18"/>
    </row>
    <row r="37" ht="15.75" customHeight="1">
      <c r="A37" s="18"/>
      <c r="B37" s="18"/>
      <c r="C37" s="18"/>
      <c r="D37" s="18"/>
    </row>
    <row r="38" ht="15.75" customHeight="1">
      <c r="A38" s="18"/>
      <c r="B38" s="18"/>
      <c r="C38" s="18"/>
      <c r="D38" s="18"/>
    </row>
    <row r="39" ht="15.75" customHeight="1">
      <c r="A39" s="18"/>
      <c r="B39" s="18"/>
      <c r="C39" s="18"/>
      <c r="D39" s="18"/>
    </row>
    <row r="40" ht="15.75" customHeight="1">
      <c r="A40" s="18"/>
      <c r="B40" s="18"/>
      <c r="C40" s="18"/>
      <c r="D40" s="18"/>
    </row>
    <row r="41" ht="15.75" customHeight="1">
      <c r="A41" s="18"/>
      <c r="B41" s="18"/>
      <c r="C41" s="18"/>
      <c r="D41" s="18"/>
    </row>
    <row r="42" ht="15.75" customHeight="1">
      <c r="A42" s="18"/>
      <c r="B42" s="18"/>
      <c r="C42" s="18"/>
      <c r="D42" s="18"/>
    </row>
    <row r="43" ht="15.75" customHeight="1">
      <c r="A43" s="18"/>
      <c r="B43" s="18"/>
      <c r="C43" s="18"/>
      <c r="D43" s="18"/>
    </row>
    <row r="44" ht="15.75" customHeight="1">
      <c r="A44" s="18"/>
      <c r="B44" s="18"/>
      <c r="C44" s="18"/>
      <c r="D44" s="18"/>
    </row>
    <row r="45" ht="15.75" customHeight="1">
      <c r="A45" s="18"/>
      <c r="B45" s="18"/>
      <c r="C45" s="18"/>
      <c r="D45" s="18"/>
    </row>
    <row r="46" ht="15.75" customHeight="1">
      <c r="A46" s="18"/>
      <c r="B46" s="18"/>
      <c r="C46" s="18"/>
      <c r="D46" s="18"/>
    </row>
    <row r="47" ht="15.75" customHeight="1">
      <c r="A47" s="18"/>
      <c r="B47" s="18"/>
      <c r="C47" s="18"/>
      <c r="D47" s="18"/>
    </row>
    <row r="48" ht="15.75" customHeight="1">
      <c r="A48" s="18"/>
      <c r="B48" s="18"/>
      <c r="C48" s="18"/>
      <c r="D48" s="18"/>
    </row>
    <row r="49" ht="15.75" customHeight="1">
      <c r="A49" s="18"/>
      <c r="B49" s="18"/>
      <c r="C49" s="18"/>
      <c r="D49" s="18"/>
    </row>
    <row r="50" ht="15.75" customHeight="1">
      <c r="A50" s="18"/>
      <c r="B50" s="18"/>
      <c r="C50" s="18"/>
      <c r="D50" s="18"/>
    </row>
    <row r="51" ht="15.75" customHeight="1">
      <c r="A51" s="18"/>
      <c r="B51" s="18"/>
      <c r="C51" s="18"/>
      <c r="D51" s="18"/>
    </row>
    <row r="52" ht="15.75" customHeight="1">
      <c r="A52" s="18"/>
      <c r="B52" s="18"/>
      <c r="C52" s="18"/>
      <c r="D52" s="18"/>
    </row>
    <row r="53" ht="15.75" customHeight="1">
      <c r="A53" s="18"/>
      <c r="B53" s="18"/>
      <c r="C53" s="18"/>
      <c r="D53" s="18"/>
    </row>
    <row r="54" ht="15.75" customHeight="1">
      <c r="A54" s="18"/>
      <c r="B54" s="18"/>
      <c r="C54" s="18"/>
      <c r="D54" s="18"/>
    </row>
    <row r="55" ht="15.75" customHeight="1">
      <c r="A55" s="18"/>
      <c r="B55" s="18"/>
      <c r="C55" s="18"/>
      <c r="D55" s="18"/>
    </row>
    <row r="56" ht="15.75" customHeight="1">
      <c r="A56" s="18"/>
      <c r="B56" s="18"/>
      <c r="C56" s="18"/>
      <c r="D56" s="18"/>
    </row>
    <row r="57" ht="15.75" customHeight="1">
      <c r="A57" s="18"/>
      <c r="B57" s="18"/>
      <c r="C57" s="18"/>
      <c r="D57" s="18"/>
    </row>
    <row r="58" ht="15.75" customHeight="1">
      <c r="A58" s="18"/>
      <c r="B58" s="18"/>
      <c r="C58" s="18"/>
      <c r="D58" s="18"/>
    </row>
    <row r="59" ht="15.75" customHeight="1">
      <c r="A59" s="18"/>
      <c r="B59" s="18"/>
      <c r="C59" s="18"/>
      <c r="D59" s="18"/>
    </row>
    <row r="60" ht="15.75" customHeight="1">
      <c r="A60" s="18"/>
      <c r="B60" s="18"/>
      <c r="C60" s="18"/>
      <c r="D60" s="18"/>
    </row>
    <row r="61" ht="15.75" customHeight="1">
      <c r="A61" s="18"/>
      <c r="B61" s="18"/>
      <c r="C61" s="18"/>
      <c r="D61" s="18"/>
    </row>
    <row r="62" ht="15.75" customHeight="1">
      <c r="A62" s="18"/>
      <c r="B62" s="18"/>
      <c r="C62" s="18"/>
      <c r="D62" s="18"/>
    </row>
    <row r="63" ht="15.75" customHeight="1">
      <c r="A63" s="18"/>
      <c r="B63" s="18"/>
      <c r="C63" s="18"/>
      <c r="D63" s="18"/>
    </row>
    <row r="64" ht="15.75" customHeight="1">
      <c r="A64" s="18"/>
      <c r="B64" s="18"/>
      <c r="C64" s="18"/>
      <c r="D64" s="18"/>
    </row>
    <row r="65" ht="15.75" customHeight="1">
      <c r="A65" s="18"/>
      <c r="B65" s="18"/>
      <c r="C65" s="18"/>
      <c r="D65" s="18"/>
    </row>
    <row r="66" ht="15.75" customHeight="1">
      <c r="A66" s="18"/>
      <c r="B66" s="18"/>
      <c r="C66" s="18"/>
      <c r="D66" s="18"/>
    </row>
    <row r="67" ht="15.75" customHeight="1">
      <c r="A67" s="18"/>
      <c r="B67" s="18"/>
      <c r="C67" s="18"/>
      <c r="D67" s="18"/>
    </row>
    <row r="68" ht="15.75" customHeight="1">
      <c r="A68" s="18"/>
      <c r="B68" s="18"/>
      <c r="C68" s="18"/>
      <c r="D68" s="18"/>
    </row>
    <row r="69" ht="15.75" customHeight="1">
      <c r="A69" s="18"/>
      <c r="B69" s="18"/>
      <c r="C69" s="18"/>
      <c r="D69" s="18"/>
    </row>
    <row r="70" ht="15.75" customHeight="1">
      <c r="A70" s="18"/>
      <c r="B70" s="18"/>
      <c r="C70" s="18"/>
      <c r="D70" s="18"/>
    </row>
    <row r="71" ht="15.75" customHeight="1">
      <c r="A71" s="18"/>
      <c r="B71" s="18"/>
      <c r="C71" s="18"/>
      <c r="D71" s="18"/>
    </row>
    <row r="72" ht="15.75" customHeight="1">
      <c r="A72" s="18"/>
      <c r="B72" s="18"/>
      <c r="C72" s="18"/>
      <c r="D72" s="18"/>
    </row>
    <row r="73" ht="15.75" customHeight="1">
      <c r="A73" s="18"/>
      <c r="B73" s="18"/>
      <c r="C73" s="18"/>
      <c r="D73" s="18"/>
    </row>
    <row r="74" ht="15.75" customHeight="1">
      <c r="A74" s="18"/>
      <c r="B74" s="18"/>
      <c r="C74" s="18"/>
      <c r="D74" s="18"/>
    </row>
    <row r="75" ht="15.75" customHeight="1">
      <c r="A75" s="18"/>
      <c r="B75" s="18"/>
      <c r="C75" s="18"/>
      <c r="D75" s="18"/>
    </row>
    <row r="76" ht="15.75" customHeight="1">
      <c r="A76" s="18"/>
      <c r="B76" s="18"/>
      <c r="C76" s="18"/>
      <c r="D76" s="18"/>
    </row>
    <row r="77" ht="15.75" customHeight="1">
      <c r="A77" s="18"/>
      <c r="B77" s="18"/>
      <c r="C77" s="18"/>
      <c r="D77" s="18"/>
    </row>
    <row r="78" ht="15.75" customHeight="1">
      <c r="A78" s="18"/>
      <c r="B78" s="18"/>
      <c r="C78" s="18"/>
      <c r="D78" s="18"/>
    </row>
    <row r="79" ht="15.75" customHeight="1">
      <c r="A79" s="18"/>
      <c r="B79" s="18"/>
      <c r="C79" s="18"/>
      <c r="D79" s="18"/>
    </row>
    <row r="80" ht="15.75" customHeight="1">
      <c r="A80" s="18"/>
      <c r="B80" s="18"/>
      <c r="C80" s="18"/>
      <c r="D80" s="18"/>
    </row>
    <row r="81" ht="15.75" customHeight="1">
      <c r="A81" s="18"/>
      <c r="B81" s="18"/>
      <c r="C81" s="18"/>
      <c r="D81" s="18"/>
    </row>
    <row r="82" ht="15.75" customHeight="1">
      <c r="A82" s="18"/>
      <c r="B82" s="18"/>
      <c r="C82" s="18"/>
      <c r="D82" s="18"/>
    </row>
    <row r="83" ht="15.75" customHeight="1">
      <c r="A83" s="18"/>
      <c r="B83" s="18"/>
      <c r="C83" s="18"/>
      <c r="D83" s="18"/>
    </row>
    <row r="84" ht="15.75" customHeight="1">
      <c r="A84" s="18"/>
      <c r="B84" s="18"/>
      <c r="C84" s="18"/>
      <c r="D84" s="18"/>
    </row>
    <row r="85" ht="15.75" customHeight="1">
      <c r="A85" s="18"/>
      <c r="B85" s="18"/>
      <c r="C85" s="18"/>
      <c r="D85" s="18"/>
    </row>
    <row r="86" ht="15.75" customHeight="1">
      <c r="A86" s="18"/>
      <c r="B86" s="18"/>
      <c r="C86" s="18"/>
      <c r="D86" s="18"/>
    </row>
    <row r="87" ht="15.75" customHeight="1">
      <c r="A87" s="18"/>
      <c r="B87" s="18"/>
      <c r="C87" s="18"/>
      <c r="D87" s="18"/>
    </row>
    <row r="88" ht="15.75" customHeight="1">
      <c r="A88" s="18"/>
      <c r="B88" s="18"/>
      <c r="C88" s="18"/>
      <c r="D88" s="18"/>
    </row>
    <row r="89" ht="15.75" customHeight="1">
      <c r="A89" s="18"/>
      <c r="B89" s="32"/>
      <c r="C89" s="18"/>
      <c r="D89" s="18"/>
    </row>
    <row r="90" ht="15.75" customHeight="1">
      <c r="A90" s="18"/>
      <c r="B90" s="18"/>
      <c r="C90" s="18"/>
      <c r="D90" s="18"/>
    </row>
    <row r="91" ht="15.75" customHeight="1">
      <c r="A91" s="18"/>
      <c r="B91" s="18"/>
      <c r="C91" s="18"/>
      <c r="D91" s="18"/>
    </row>
    <row r="92" ht="15.75" customHeight="1">
      <c r="A92" s="18"/>
      <c r="B92" s="18"/>
      <c r="C92" s="18"/>
      <c r="D92" s="18"/>
    </row>
    <row r="93" ht="15.75" customHeight="1">
      <c r="A93" s="18"/>
      <c r="B93" s="18"/>
      <c r="C93" s="18"/>
      <c r="D93" s="18"/>
    </row>
    <row r="94" ht="15.75" customHeight="1">
      <c r="A94" s="18"/>
      <c r="B94" s="18"/>
      <c r="C94" s="18"/>
      <c r="D94" s="18"/>
    </row>
    <row r="95" ht="15.75" customHeight="1">
      <c r="A95" s="18"/>
      <c r="B95" s="18"/>
      <c r="C95" s="18"/>
      <c r="D95" s="18"/>
    </row>
    <row r="96" ht="15.75" customHeight="1">
      <c r="A96" s="18"/>
      <c r="B96" s="18"/>
      <c r="C96" s="18"/>
      <c r="D96" s="18"/>
    </row>
    <row r="97" ht="15.75" customHeight="1">
      <c r="A97" s="18"/>
      <c r="B97" s="18"/>
      <c r="C97" s="18"/>
      <c r="D97" s="18"/>
    </row>
    <row r="98" ht="15.75" customHeight="1">
      <c r="A98" s="18"/>
      <c r="B98" s="18"/>
      <c r="C98" s="18"/>
      <c r="D98" s="18"/>
    </row>
    <row r="99" ht="15.75" customHeight="1">
      <c r="A99" s="18"/>
      <c r="B99" s="18"/>
      <c r="C99" s="18"/>
      <c r="D99" s="18"/>
    </row>
    <row r="100" ht="15.75" customHeight="1">
      <c r="A100" s="18"/>
      <c r="B100" s="18"/>
      <c r="C100" s="18"/>
      <c r="D100" s="18"/>
    </row>
    <row r="101" ht="15.75" customHeight="1">
      <c r="A101" s="18"/>
      <c r="B101" s="18"/>
      <c r="C101" s="18"/>
      <c r="D101" s="18"/>
    </row>
    <row r="102" ht="15.75" customHeight="1">
      <c r="A102" s="18"/>
      <c r="B102" s="18"/>
      <c r="C102" s="18"/>
      <c r="D102" s="18"/>
    </row>
    <row r="103" ht="15.75" customHeight="1">
      <c r="A103" s="18"/>
      <c r="B103" s="18"/>
      <c r="C103" s="18"/>
      <c r="D103" s="18"/>
    </row>
    <row r="104" ht="15.75" customHeight="1">
      <c r="A104" s="18"/>
      <c r="B104" s="18"/>
      <c r="C104" s="18"/>
      <c r="D104" s="18"/>
    </row>
    <row r="105" ht="15.75" customHeight="1">
      <c r="A105" s="18"/>
      <c r="B105" s="18"/>
      <c r="C105" s="18"/>
      <c r="D105" s="18"/>
    </row>
    <row r="106" ht="15.75" customHeight="1">
      <c r="A106" s="33"/>
    </row>
    <row r="107" ht="15.75" customHeight="1">
      <c r="A107" s="11"/>
      <c r="B107" s="11"/>
      <c r="C107" s="11"/>
      <c r="D107" s="11"/>
    </row>
    <row r="108" ht="15.75" customHeight="1">
      <c r="A108" s="11"/>
      <c r="B108" s="11"/>
      <c r="C108" s="11"/>
      <c r="D108" s="11"/>
    </row>
    <row r="109" ht="15.75" customHeight="1">
      <c r="A109" s="11"/>
      <c r="B109" s="11"/>
      <c r="C109" s="11"/>
      <c r="D109" s="11"/>
    </row>
    <row r="110" ht="15.75" customHeight="1">
      <c r="A110" s="11"/>
      <c r="B110" s="11"/>
      <c r="C110" s="11"/>
      <c r="D110" s="11"/>
    </row>
    <row r="111" ht="15.75" customHeight="1">
      <c r="A111" s="11"/>
      <c r="B111" s="11"/>
      <c r="C111" s="11"/>
      <c r="D111" s="11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">
    <mergeCell ref="A1:D1"/>
    <mergeCell ref="A2:D2"/>
    <mergeCell ref="A3:D3"/>
    <mergeCell ref="A4:D4"/>
    <mergeCell ref="A106:D10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