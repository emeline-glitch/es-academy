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y6W4rjw3v9KzFsJpEfQsy4TfYtFoE70G65Y0dWuUUOw="/>
    </ext>
  </extLst>
</workbook>
</file>

<file path=xl/sharedStrings.xml><?xml version="1.0" encoding="utf-8"?>
<sst xmlns="http://schemas.openxmlformats.org/spreadsheetml/2006/main" count="65" uniqueCount="50">
  <si>
    <t>RESSOURCES MENSUELLES</t>
  </si>
  <si>
    <t>RESSOURCES</t>
  </si>
  <si>
    <t>EMPRUNTEUR 1</t>
  </si>
  <si>
    <t>EMPRUNTEUR 2</t>
  </si>
  <si>
    <t>TOTAL DU FOYER</t>
  </si>
  <si>
    <t>Salaires (net imposable)</t>
  </si>
  <si>
    <t>Pension (net imposable)</t>
  </si>
  <si>
    <t>Revenus locatifs (bruts)</t>
  </si>
  <si>
    <t>Autre à préciser</t>
  </si>
  <si>
    <t>TOTAL</t>
  </si>
  <si>
    <t>PATRIMOINE MOBILIER</t>
  </si>
  <si>
    <t>NATURE</t>
  </si>
  <si>
    <t>Dépôt en épargne</t>
  </si>
  <si>
    <t>Assurance vie</t>
  </si>
  <si>
    <t>Actions</t>
  </si>
  <si>
    <t>PATRIMOINE IMMOBILIER</t>
  </si>
  <si>
    <t>EMPRUNTEUR</t>
  </si>
  <si>
    <t>PRÊTEUR</t>
  </si>
  <si>
    <t>OBJET</t>
  </si>
  <si>
    <t>GARANTIE</t>
  </si>
  <si>
    <t>EN COURS</t>
  </si>
  <si>
    <t>MENSUALITÉ</t>
  </si>
  <si>
    <t xml:space="preserve">FIN DU PRÊT </t>
  </si>
  <si>
    <t>CRD</t>
  </si>
  <si>
    <t>VALEUR ESTIMÉE</t>
  </si>
  <si>
    <t>LIEU</t>
  </si>
  <si>
    <t>TYPE</t>
  </si>
  <si>
    <t>Société G.</t>
  </si>
  <si>
    <t>RP</t>
  </si>
  <si>
    <t>Crédit L.</t>
  </si>
  <si>
    <t>LYON</t>
  </si>
  <si>
    <t>T2</t>
  </si>
  <si>
    <t>Crédit A.</t>
  </si>
  <si>
    <t>Locatif</t>
  </si>
  <si>
    <t>BORDEAUX</t>
  </si>
  <si>
    <t>Studio</t>
  </si>
  <si>
    <t>BNP</t>
  </si>
  <si>
    <t>Hypothèque</t>
  </si>
  <si>
    <t>MARSEILLE</t>
  </si>
  <si>
    <t>1+2</t>
  </si>
  <si>
    <t>Crédit M.</t>
  </si>
  <si>
    <t>PAU</t>
  </si>
  <si>
    <t>T4</t>
  </si>
  <si>
    <t>AUTRES CHARGES MENSUELLE</t>
  </si>
  <si>
    <t>EMPRUNTEURS</t>
  </si>
  <si>
    <t>MONTANT</t>
  </si>
  <si>
    <t>Loyers RP</t>
  </si>
  <si>
    <t>Imposition 2023 (TMI 14%)</t>
  </si>
  <si>
    <t>Taux d'endettement du foyer fiscal :</t>
  </si>
  <si>
    <t>par calcul différenciel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</si>
</sst>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€-1]"/>
    <numFmt numFmtId="165" formatCode="mm/yyyy"/>
    <numFmt numFmtId="166" formatCode="#,##0&quot;€&quot;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/>
    <font>
      <b/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6E55"/>
        <bgColor rgb="FF2C6E55"/>
      </patternFill>
    </fill>
  </fills>
  <borders count="16">
    <border/>
    <border>
      <left style="thin">
        <color rgb="FF4574B6"/>
      </left>
      <top style="thin">
        <color rgb="FF4574B6"/>
      </top>
    </border>
    <border>
      <top style="thin">
        <color rgb="FF4574B6"/>
      </top>
    </border>
    <border>
      <right style="thin">
        <color rgb="FF4574B6"/>
      </right>
      <top style="thin">
        <color rgb="FF4574B6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2" numFmtId="0" xfId="0" applyAlignment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vertical="center"/>
    </xf>
    <xf borderId="7" fillId="2" fontId="7" numFmtId="0" xfId="0" applyAlignment="1" applyBorder="1" applyFont="1">
      <alignment vertical="center"/>
    </xf>
    <xf borderId="8" fillId="2" fontId="2" numFmtId="164" xfId="0" applyAlignment="1" applyBorder="1" applyFont="1" applyNumberFormat="1">
      <alignment horizontal="center" shrinkToFit="0" vertical="center" wrapText="0"/>
    </xf>
    <xf borderId="9" fillId="2" fontId="2" numFmtId="164" xfId="0" applyAlignment="1" applyBorder="1" applyFont="1" applyNumberFormat="1">
      <alignment horizontal="center" shrinkToFit="0" vertical="center" wrapText="0"/>
    </xf>
    <xf borderId="7" fillId="2" fontId="2" numFmtId="0" xfId="0" applyAlignment="1" applyBorder="1" applyFont="1">
      <alignment horizontal="center" shrinkToFit="0" vertical="center" wrapText="0"/>
    </xf>
    <xf borderId="10" fillId="2" fontId="2" numFmtId="0" xfId="0" applyAlignment="1" applyBorder="1" applyFont="1">
      <alignment horizontal="center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11" fillId="2" fontId="8" numFmtId="0" xfId="0" applyAlignment="1" applyBorder="1" applyFont="1">
      <alignment horizontal="center" shrinkToFit="0" vertical="center" wrapText="0"/>
    </xf>
    <xf borderId="12" fillId="2" fontId="8" numFmtId="164" xfId="0" applyAlignment="1" applyBorder="1" applyFont="1" applyNumberFormat="1">
      <alignment horizontal="center" shrinkToFit="0" vertical="center" wrapText="0"/>
    </xf>
    <xf borderId="0" fillId="2" fontId="6" numFmtId="0" xfId="0" applyAlignment="1" applyFont="1">
      <alignment horizontal="center" vertical="center"/>
    </xf>
    <xf borderId="13" fillId="2" fontId="5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14" fillId="2" fontId="2" numFmtId="164" xfId="0" applyAlignment="1" applyBorder="1" applyFont="1" applyNumberFormat="1">
      <alignment horizontal="center" shrinkToFit="0" vertical="center" wrapText="0"/>
    </xf>
    <xf borderId="7" fillId="0" fontId="9" numFmtId="164" xfId="0" applyAlignment="1" applyBorder="1" applyFont="1" applyNumberFormat="1">
      <alignment horizontal="center" vertical="center"/>
    </xf>
    <xf borderId="8" fillId="0" fontId="9" numFmtId="164" xfId="0" applyAlignment="1" applyBorder="1" applyFont="1" applyNumberFormat="1">
      <alignment horizontal="center" vertical="center"/>
    </xf>
    <xf borderId="8" fillId="0" fontId="9" numFmtId="165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3" fontId="8" numFmtId="0" xfId="0" applyAlignment="1" applyBorder="1" applyFon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0" fillId="3" fontId="3" numFmtId="164" xfId="0" applyAlignment="1" applyBorder="1" applyFont="1" applyNumberFormat="1">
      <alignment horizontal="center" vertical="center"/>
    </xf>
    <xf borderId="11" fillId="3" fontId="9" numFmtId="0" xfId="0" applyBorder="1" applyFont="1"/>
    <xf borderId="11" fillId="3" fontId="3" numFmtId="164" xfId="0" applyAlignment="1" applyBorder="1" applyFont="1" applyNumberFormat="1">
      <alignment horizontal="center" vertical="center"/>
    </xf>
    <xf borderId="12" fillId="3" fontId="9" numFmtId="0" xfId="0" applyBorder="1" applyFont="1"/>
    <xf borderId="6" fillId="2" fontId="6" numFmtId="0" xfId="0" applyAlignment="1" applyBorder="1" applyFont="1">
      <alignment horizontal="center" vertical="center"/>
    </xf>
    <xf borderId="0" fillId="2" fontId="10" numFmtId="0" xfId="0" applyAlignment="1" applyFont="1">
      <alignment horizontal="center" shrinkToFit="0" vertical="center" wrapText="0"/>
    </xf>
    <xf borderId="0" fillId="2" fontId="11" numFmtId="10" xfId="0" applyAlignment="1" applyFont="1" applyNumberFormat="1">
      <alignment horizontal="center" shrinkToFit="0" vertical="center" wrapText="0"/>
    </xf>
    <xf borderId="0" fillId="2" fontId="2" numFmtId="166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shrinkToFit="0" vertical="top" wrapText="1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0</xdr:row>
      <xdr:rowOff>47625</xdr:rowOff>
    </xdr:from>
    <xdr:ext cx="18573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8.88"/>
    <col customWidth="1" min="3" max="3" width="21.63"/>
    <col customWidth="1" min="4" max="4" width="22.25"/>
    <col customWidth="1" min="5" max="13" width="20.88"/>
  </cols>
  <sheetData>
    <row r="1" ht="78.75" customHeight="1">
      <c r="A1" s="1"/>
      <c r="B1" s="1"/>
    </row>
    <row r="2" ht="31.5" customHeight="1">
      <c r="A2" s="2"/>
      <c r="B2" s="3" t="s">
        <v>0</v>
      </c>
      <c r="C2" s="4"/>
      <c r="D2" s="4"/>
      <c r="E2" s="5"/>
    </row>
    <row r="3" ht="24.0" customHeight="1">
      <c r="A3" s="6"/>
      <c r="B3" s="7" t="s">
        <v>1</v>
      </c>
      <c r="C3" s="8" t="s">
        <v>2</v>
      </c>
      <c r="D3" s="8" t="s">
        <v>3</v>
      </c>
      <c r="E3" s="9" t="s">
        <v>4</v>
      </c>
    </row>
    <row r="4" ht="24.0" customHeight="1">
      <c r="A4" s="10"/>
      <c r="B4" s="11" t="s">
        <v>5</v>
      </c>
      <c r="C4" s="12">
        <v>1500.0</v>
      </c>
      <c r="D4" s="12">
        <v>1500.0</v>
      </c>
      <c r="E4" s="13">
        <f t="shared" ref="E4:E7" si="1">C4+D4</f>
        <v>3000</v>
      </c>
    </row>
    <row r="5" ht="24.0" customHeight="1">
      <c r="A5" s="2"/>
      <c r="B5" s="14" t="s">
        <v>6</v>
      </c>
      <c r="C5" s="12">
        <v>500.0</v>
      </c>
      <c r="D5" s="12">
        <v>0.0</v>
      </c>
      <c r="E5" s="13">
        <f t="shared" si="1"/>
        <v>500</v>
      </c>
    </row>
    <row r="6" ht="24.0" customHeight="1">
      <c r="A6" s="2"/>
      <c r="B6" s="14" t="s">
        <v>7</v>
      </c>
      <c r="C6" s="12">
        <v>3500.0</v>
      </c>
      <c r="D6" s="12">
        <v>0.0</v>
      </c>
      <c r="E6" s="13">
        <f t="shared" si="1"/>
        <v>3500</v>
      </c>
    </row>
    <row r="7" ht="24.0" customHeight="1">
      <c r="A7" s="2"/>
      <c r="B7" s="14" t="s">
        <v>8</v>
      </c>
      <c r="C7" s="12">
        <v>0.0</v>
      </c>
      <c r="D7" s="12">
        <v>0.0</v>
      </c>
      <c r="E7" s="13">
        <f t="shared" si="1"/>
        <v>0</v>
      </c>
    </row>
    <row r="8" ht="33.75" customHeight="1">
      <c r="A8" s="2"/>
      <c r="B8" s="15"/>
      <c r="C8" s="16"/>
      <c r="D8" s="17" t="s">
        <v>9</v>
      </c>
      <c r="E8" s="18">
        <f>SUM(E4:E7)</f>
        <v>7000</v>
      </c>
    </row>
    <row r="9" ht="15.75" customHeight="1">
      <c r="A9" s="2"/>
      <c r="B9" s="2"/>
      <c r="C9" s="2"/>
      <c r="D9" s="2"/>
      <c r="E9" s="2"/>
    </row>
    <row r="10" ht="15.75" customHeight="1">
      <c r="A10" s="2"/>
      <c r="B10" s="2"/>
      <c r="C10" s="2"/>
      <c r="D10" s="2"/>
      <c r="E10" s="2"/>
    </row>
    <row r="11" ht="31.5" customHeight="1">
      <c r="A11" s="2"/>
      <c r="B11" s="3" t="s">
        <v>10</v>
      </c>
      <c r="C11" s="4"/>
      <c r="D11" s="4"/>
      <c r="E11" s="5"/>
    </row>
    <row r="12" ht="24.0" customHeight="1">
      <c r="A12" s="6"/>
      <c r="B12" s="7" t="s">
        <v>11</v>
      </c>
      <c r="C12" s="8" t="s">
        <v>2</v>
      </c>
      <c r="D12" s="8" t="s">
        <v>3</v>
      </c>
      <c r="E12" s="9" t="s">
        <v>4</v>
      </c>
    </row>
    <row r="13" ht="24.0" customHeight="1">
      <c r="A13" s="10"/>
      <c r="B13" s="11" t="s">
        <v>12</v>
      </c>
      <c r="C13" s="12">
        <v>5000.0</v>
      </c>
      <c r="D13" s="12">
        <v>2000.0</v>
      </c>
      <c r="E13" s="13">
        <f t="shared" ref="E13:E16" si="2">C13+D13</f>
        <v>7000</v>
      </c>
    </row>
    <row r="14" ht="24.0" customHeight="1">
      <c r="A14" s="2"/>
      <c r="B14" s="14" t="s">
        <v>13</v>
      </c>
      <c r="C14" s="12">
        <v>4000.0</v>
      </c>
      <c r="D14" s="12">
        <v>2000.0</v>
      </c>
      <c r="E14" s="13">
        <f t="shared" si="2"/>
        <v>6000</v>
      </c>
    </row>
    <row r="15" ht="24.0" customHeight="1">
      <c r="A15" s="2"/>
      <c r="B15" s="14" t="s">
        <v>14</v>
      </c>
      <c r="C15" s="12">
        <v>0.0</v>
      </c>
      <c r="D15" s="12">
        <v>0.0</v>
      </c>
      <c r="E15" s="13">
        <f t="shared" si="2"/>
        <v>0</v>
      </c>
    </row>
    <row r="16" ht="24.0" customHeight="1">
      <c r="A16" s="2"/>
      <c r="B16" s="14" t="s">
        <v>8</v>
      </c>
      <c r="C16" s="12">
        <v>0.0</v>
      </c>
      <c r="D16" s="12">
        <v>0.0</v>
      </c>
      <c r="E16" s="13">
        <f t="shared" si="2"/>
        <v>0</v>
      </c>
    </row>
    <row r="17" ht="33.75" customHeight="1">
      <c r="A17" s="2"/>
      <c r="B17" s="15"/>
      <c r="C17" s="16"/>
      <c r="D17" s="17" t="s">
        <v>9</v>
      </c>
      <c r="E17" s="18">
        <f>SUM(E13:E16)</f>
        <v>13000</v>
      </c>
    </row>
    <row r="18" ht="15.75" customHeight="1">
      <c r="A18" s="2"/>
      <c r="B18" s="2"/>
      <c r="C18" s="2"/>
      <c r="D18" s="2"/>
      <c r="E18" s="2"/>
    </row>
    <row r="19" ht="12.75" customHeight="1">
      <c r="A19" s="2"/>
      <c r="B19" s="2"/>
      <c r="C19" s="2"/>
      <c r="D19" s="2"/>
      <c r="E19" s="2"/>
    </row>
    <row r="20" ht="31.5" customHeight="1">
      <c r="A20" s="2"/>
      <c r="B20" s="3" t="s">
        <v>15</v>
      </c>
      <c r="C20" s="4"/>
      <c r="D20" s="4"/>
      <c r="E20" s="4"/>
      <c r="F20" s="4"/>
      <c r="G20" s="4"/>
      <c r="H20" s="4"/>
      <c r="I20" s="4"/>
      <c r="J20" s="4"/>
      <c r="K20" s="4"/>
      <c r="L20" s="5"/>
    </row>
    <row r="21" ht="24.0" customHeight="1">
      <c r="A21" s="19"/>
      <c r="B21" s="8" t="s">
        <v>16</v>
      </c>
      <c r="C21" s="8" t="s">
        <v>17</v>
      </c>
      <c r="D21" s="8" t="s">
        <v>18</v>
      </c>
      <c r="E21" s="9" t="s">
        <v>19</v>
      </c>
      <c r="F21" s="20" t="s">
        <v>20</v>
      </c>
      <c r="G21" s="9" t="s">
        <v>21</v>
      </c>
      <c r="H21" s="9" t="s">
        <v>22</v>
      </c>
      <c r="I21" s="9" t="s">
        <v>23</v>
      </c>
      <c r="J21" s="9" t="s">
        <v>24</v>
      </c>
      <c r="K21" s="9" t="s">
        <v>25</v>
      </c>
      <c r="L21" s="9" t="s">
        <v>26</v>
      </c>
    </row>
    <row r="22" ht="24.0" customHeight="1">
      <c r="A22" s="21"/>
      <c r="B22" s="22">
        <v>1.0</v>
      </c>
      <c r="C22" s="12" t="s">
        <v>27</v>
      </c>
      <c r="D22" s="12" t="s">
        <v>28</v>
      </c>
      <c r="E22" s="23" t="s">
        <v>29</v>
      </c>
      <c r="F22" s="24">
        <v>55000.0</v>
      </c>
      <c r="G22" s="25">
        <v>350.0</v>
      </c>
      <c r="H22" s="26">
        <v>49096.0</v>
      </c>
      <c r="I22" s="25">
        <v>50000.0</v>
      </c>
      <c r="J22" s="25">
        <v>57000.0</v>
      </c>
      <c r="K22" s="27" t="s">
        <v>30</v>
      </c>
      <c r="L22" s="28" t="s">
        <v>31</v>
      </c>
    </row>
    <row r="23" ht="24.0" customHeight="1">
      <c r="A23" s="2"/>
      <c r="B23" s="14">
        <v>1.0</v>
      </c>
      <c r="C23" s="12" t="s">
        <v>32</v>
      </c>
      <c r="D23" s="12" t="s">
        <v>33</v>
      </c>
      <c r="E23" s="23" t="s">
        <v>29</v>
      </c>
      <c r="F23" s="24">
        <v>75000.0</v>
      </c>
      <c r="G23" s="25">
        <v>450.0</v>
      </c>
      <c r="H23" s="26">
        <v>49369.0</v>
      </c>
      <c r="I23" s="25">
        <v>70000.0</v>
      </c>
      <c r="J23" s="25">
        <v>90000.0</v>
      </c>
      <c r="K23" s="27" t="s">
        <v>34</v>
      </c>
      <c r="L23" s="28" t="s">
        <v>35</v>
      </c>
    </row>
    <row r="24" ht="24.0" customHeight="1">
      <c r="A24" s="2"/>
      <c r="B24" s="14">
        <v>2.0</v>
      </c>
      <c r="C24" s="12" t="s">
        <v>36</v>
      </c>
      <c r="D24" s="12" t="s">
        <v>33</v>
      </c>
      <c r="E24" s="23" t="s">
        <v>37</v>
      </c>
      <c r="F24" s="24">
        <v>69000.0</v>
      </c>
      <c r="G24" s="25">
        <v>430.0</v>
      </c>
      <c r="H24" s="26">
        <v>50253.0</v>
      </c>
      <c r="I24" s="25">
        <v>42000.0</v>
      </c>
      <c r="J24" s="25">
        <v>85000.0</v>
      </c>
      <c r="K24" s="27" t="s">
        <v>38</v>
      </c>
      <c r="L24" s="28" t="s">
        <v>35</v>
      </c>
    </row>
    <row r="25" ht="24.0" customHeight="1">
      <c r="A25" s="2"/>
      <c r="B25" s="14" t="s">
        <v>39</v>
      </c>
      <c r="C25" s="12" t="s">
        <v>40</v>
      </c>
      <c r="D25" s="12" t="s">
        <v>33</v>
      </c>
      <c r="E25" s="23" t="s">
        <v>37</v>
      </c>
      <c r="F25" s="24">
        <v>233000.0</v>
      </c>
      <c r="G25" s="25">
        <v>1060.0</v>
      </c>
      <c r="H25" s="26">
        <v>51349.0</v>
      </c>
      <c r="I25" s="25">
        <v>233000.0</v>
      </c>
      <c r="J25" s="25">
        <v>240000.0</v>
      </c>
      <c r="K25" s="27" t="s">
        <v>41</v>
      </c>
      <c r="L25" s="28" t="s">
        <v>42</v>
      </c>
    </row>
    <row r="26" ht="33.75" customHeight="1">
      <c r="A26" s="2"/>
      <c r="B26" s="29"/>
      <c r="C26" s="30"/>
      <c r="D26" s="31"/>
      <c r="E26" s="32" t="s">
        <v>9</v>
      </c>
      <c r="F26" s="33">
        <f t="shared" ref="F26:G26" si="3">SUM(F22:F25)</f>
        <v>432000</v>
      </c>
      <c r="G26" s="33">
        <f t="shared" si="3"/>
        <v>2290</v>
      </c>
      <c r="H26" s="34"/>
      <c r="I26" s="35">
        <f t="shared" ref="I26:J26" si="4">SUM(I22:I25)</f>
        <v>395000</v>
      </c>
      <c r="J26" s="35">
        <f t="shared" si="4"/>
        <v>472000</v>
      </c>
      <c r="K26" s="34"/>
      <c r="L26" s="36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31.5" customHeight="1">
      <c r="A29" s="2"/>
      <c r="B29" s="3" t="s">
        <v>43</v>
      </c>
      <c r="C29" s="4"/>
      <c r="D29" s="4"/>
    </row>
    <row r="30" ht="24.0" customHeight="1">
      <c r="A30" s="6"/>
      <c r="B30" s="7" t="s">
        <v>44</v>
      </c>
      <c r="C30" s="8" t="s">
        <v>11</v>
      </c>
      <c r="D30" s="37" t="s">
        <v>45</v>
      </c>
    </row>
    <row r="31" ht="24.0" customHeight="1">
      <c r="A31" s="2"/>
      <c r="B31" s="14" t="s">
        <v>39</v>
      </c>
      <c r="C31" s="12" t="s">
        <v>46</v>
      </c>
      <c r="D31" s="13">
        <v>800.0</v>
      </c>
    </row>
    <row r="32" ht="24.0" customHeight="1">
      <c r="A32" s="2"/>
      <c r="B32" s="14" t="s">
        <v>39</v>
      </c>
      <c r="C32" s="12" t="s">
        <v>47</v>
      </c>
      <c r="D32" s="13">
        <v>150.0</v>
      </c>
    </row>
    <row r="33" ht="33.75" customHeight="1">
      <c r="A33" s="2"/>
      <c r="B33" s="15"/>
      <c r="C33" s="17" t="s">
        <v>9</v>
      </c>
      <c r="D33" s="18">
        <f>SUM(D31:D32)</f>
        <v>950</v>
      </c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  <c r="E35" s="2"/>
    </row>
    <row r="36" ht="23.25" customHeight="1">
      <c r="A36" s="2"/>
      <c r="B36" s="38" t="s">
        <v>48</v>
      </c>
      <c r="D36" s="39">
        <v>0.165</v>
      </c>
      <c r="E36" s="38" t="s">
        <v>49</v>
      </c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40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41"/>
      <c r="B102" s="41"/>
    </row>
    <row r="103" ht="15.75" customHeight="1">
      <c r="A103" s="42"/>
      <c r="B103" s="42"/>
      <c r="C103" s="42"/>
      <c r="D103" s="42"/>
      <c r="E103" s="42"/>
    </row>
    <row r="104" ht="15.75" customHeight="1">
      <c r="A104" s="42"/>
      <c r="B104" s="42"/>
      <c r="C104" s="42"/>
      <c r="D104" s="42"/>
      <c r="E104" s="42"/>
    </row>
    <row r="105" ht="15.75" customHeight="1">
      <c r="A105" s="42"/>
      <c r="B105" s="42"/>
      <c r="C105" s="42"/>
      <c r="D105" s="42"/>
      <c r="E105" s="42"/>
    </row>
    <row r="106" ht="15.75" customHeight="1">
      <c r="A106" s="42"/>
      <c r="B106" s="42"/>
      <c r="C106" s="42"/>
      <c r="D106" s="42"/>
      <c r="E106" s="42"/>
    </row>
    <row r="107" ht="15.75" customHeight="1">
      <c r="A107" s="42"/>
      <c r="B107" s="42"/>
      <c r="C107" s="42"/>
      <c r="D107" s="42"/>
      <c r="E107" s="42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1:E1"/>
    <mergeCell ref="B2:E2"/>
    <mergeCell ref="B11:E11"/>
    <mergeCell ref="B20:L20"/>
    <mergeCell ref="B29:D29"/>
    <mergeCell ref="B36:C36"/>
    <mergeCell ref="B102:E10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