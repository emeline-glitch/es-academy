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 de résultats" sheetId="1" state="visible" r:id="rId1"/>
    <sheet xmlns:r="http://schemas.openxmlformats.org/officeDocument/2006/relationships" name="Bilan" sheetId="2" state="visible" r:id="rId2"/>
    <sheet xmlns:r="http://schemas.openxmlformats.org/officeDocument/2006/relationships" name="Croissance" sheetId="3" state="visible" r:id="rId3"/>
    <sheet xmlns:r="http://schemas.openxmlformats.org/officeDocument/2006/relationships" name="Objectifs" sheetId="4" state="visible" r:id="rId4"/>
    <sheet xmlns:r="http://schemas.openxmlformats.org/officeDocument/2006/relationships" name="Graphiques" sheetId="5" state="visible" r:id="rId5"/>
    <sheet xmlns:r="http://schemas.openxmlformats.org/officeDocument/2006/relationships" name="Piv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9">
    <font>
      <name val="Calibri"/>
      <family val="2"/>
      <color theme="1"/>
      <sz val="11"/>
      <scheme val="minor"/>
    </font>
    <font>
      <name val="Arial"/>
      <color rgb="00437E68"/>
      <sz val="10"/>
    </font>
    <font>
      <name val="Arial"/>
      <b val="1"/>
      <color rgb="002C5A4A"/>
      <sz val="18"/>
    </font>
    <font>
      <name val="Arial"/>
      <b val="1"/>
      <color rgb="00437E68"/>
      <sz val="11"/>
    </font>
    <font>
      <name val="Arial"/>
      <b val="1"/>
      <color rgb="002C5A4A"/>
      <sz val="13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404040"/>
      <sz val="11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437E68"/>
      </patternFill>
    </fill>
    <fill>
      <patternFill patternType="solid">
        <fgColor rgb="00D6E8E2"/>
      </patternFill>
    </fill>
    <fill>
      <patternFill patternType="solid">
        <fgColor rgb="00A8D5BA"/>
      </patternFill>
    </fill>
    <fill>
      <patternFill patternType="solid">
        <fgColor rgb="00F5F5F5"/>
      </patternFill>
    </fill>
    <fill>
      <patternFill patternType="solid">
        <fgColor rgb="00E8DCC8"/>
      </patternFill>
    </fill>
    <fill>
      <patternFill patternType="solid">
        <fgColor rgb="00C75C5C"/>
      </patternFill>
    </fill>
    <fill>
      <patternFill patternType="solid">
        <fgColor rgb="00E8A87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1" fontId="4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pivotButton="0" quotePrefix="0" xfId="0"/>
    <xf numFmtId="164" fontId="5" fillId="5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right" vertical="center"/>
    </xf>
    <xf numFmtId="0" fontId="6" fillId="6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/>
    </xf>
    <xf numFmtId="0" fontId="8" fillId="9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5" borderId="0" pivotButton="0" quotePrefix="0" xfId="0"/>
    <xf numFmtId="0" fontId="6" fillId="4" borderId="0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5" fillId="8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des revenus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'Croissance'!D7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'Croissance'!$D$8:$D$12</f>
            </numRef>
          </val>
        </ser>
        <ser>
          <idx val="1"/>
          <order val="1"/>
          <tx>
            <strRef>
              <f>'Croissance'!E7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'Croissance'!$E$8:$E$12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du patrimoine brut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'Croissance'!H7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'Croissance'!$H$8:$H$12</f>
            </numRef>
          </val>
        </ser>
        <ser>
          <idx val="1"/>
          <order val="1"/>
          <tx>
            <strRef>
              <f>'Croissance'!I7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'Croissance'!$I$8:$I$12</f>
            </numRef>
          </val>
        </ser>
        <ser>
          <idx val="2"/>
          <order val="2"/>
          <tx>
            <strRef>
              <f>'Croissance'!J7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'Croissance'!$J$8:$J$12</f>
            </numRef>
          </val>
        </ser>
        <ser>
          <idx val="3"/>
          <order val="3"/>
          <tx>
            <strRef>
              <f>'Croissance'!K7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'Croissance'!$K$8:$K$12</f>
            </numRef>
          </val>
        </ser>
        <ser>
          <idx val="4"/>
          <order val="4"/>
          <tx>
            <strRef>
              <f>'Croissance'!L7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'Croissance'!$L$8:$L$12</f>
            </numRef>
          </val>
        </ser>
        <ser>
          <idx val="5"/>
          <order val="5"/>
          <tx>
            <strRef>
              <f>'Croissance'!M7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'Croissance'!$M$8:$M$12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du patrimoine net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'Croissance'!P7</f>
            </strRef>
          </tx>
          <spPr>
            <a:ln xmlns:a="http://schemas.openxmlformats.org/drawingml/2006/main">
              <a:prstDash val="solid"/>
            </a:ln>
          </spPr>
          <cat>
            <numRef>
              <f>'Croissance'!$C$8:$C$12</f>
            </numRef>
          </cat>
          <val>
            <numRef>
              <f>'Croissance'!$P$8:$P$12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revenus</a:t>
            </a:r>
          </a:p>
        </rich>
      </tx>
    </title>
    <plotArea>
      <barChart>
        <barDir val="col"/>
        <grouping val="stacked"/>
        <ser>
          <idx val="0"/>
          <order val="0"/>
          <tx>
            <v>Autre</v>
          </tx>
          <spPr>
            <a:ln xmlns:a="http://schemas.openxmlformats.org/drawingml/2006/main">
              <a:prstDash val="solid"/>
            </a:ln>
          </spPr>
          <val>
            <numRef>
              <f>'Pivots'!$D$5</f>
            </numRef>
          </val>
        </ser>
        <ser>
          <idx val="1"/>
          <order val="1"/>
          <tx>
            <v>Crowdfunding</v>
          </tx>
          <spPr>
            <a:ln xmlns:a="http://schemas.openxmlformats.org/drawingml/2006/main">
              <a:prstDash val="solid"/>
            </a:ln>
          </spPr>
          <val>
            <numRef>
              <f>'Pivots'!$D$6</f>
            </numRef>
          </val>
        </ser>
        <ser>
          <idx val="2"/>
          <order val="2"/>
          <tx>
            <v>Private Equity</v>
          </tx>
          <spPr>
            <a:ln xmlns:a="http://schemas.openxmlformats.org/drawingml/2006/main">
              <a:prstDash val="solid"/>
            </a:ln>
          </spPr>
          <val>
            <numRef>
              <f>'Pivots'!$D$7</f>
            </numRef>
          </val>
        </ser>
        <ser>
          <idx val="3"/>
          <order val="3"/>
          <tx>
            <v>Bourse</v>
          </tx>
          <spPr>
            <a:ln xmlns:a="http://schemas.openxmlformats.org/drawingml/2006/main">
              <a:prstDash val="solid"/>
            </a:ln>
          </spPr>
          <val>
            <numRef>
              <f>'Pivots'!$D$8</f>
            </numRef>
          </val>
        </ser>
        <ser>
          <idx val="4"/>
          <order val="4"/>
          <tx>
            <v>Immobilier</v>
          </tx>
          <spPr>
            <a:ln xmlns:a="http://schemas.openxmlformats.org/drawingml/2006/main">
              <a:prstDash val="solid"/>
            </a:ln>
          </spPr>
          <val>
            <numRef>
              <f>'Pivots'!$D$9</f>
            </numRef>
          </val>
        </ser>
        <ser>
          <idx val="5"/>
          <order val="5"/>
          <tx>
            <v>Travail</v>
          </tx>
          <spPr>
            <a:ln xmlns:a="http://schemas.openxmlformats.org/drawingml/2006/main">
              <a:prstDash val="solid"/>
            </a:ln>
          </spPr>
          <val>
            <numRef>
              <f>'Pivots'!$D$10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dépenses</a:t>
            </a:r>
          </a:p>
        </rich>
      </tx>
    </title>
    <plotArea>
      <barChart>
        <barDir val="col"/>
        <grouping val="stacked"/>
        <ser>
          <idx val="0"/>
          <order val="0"/>
          <tx>
            <v>Autre</v>
          </tx>
          <spPr>
            <a:ln xmlns:a="http://schemas.openxmlformats.org/drawingml/2006/main">
              <a:prstDash val="solid"/>
            </a:ln>
          </spPr>
          <val>
            <numRef>
              <f>'Pivots'!$F$13</f>
            </numRef>
          </val>
        </ser>
        <ser>
          <idx val="1"/>
          <order val="1"/>
          <tx>
            <v>Plaisir</v>
          </tx>
          <spPr>
            <a:ln xmlns:a="http://schemas.openxmlformats.org/drawingml/2006/main">
              <a:prstDash val="solid"/>
            </a:ln>
          </spPr>
          <val>
            <numRef>
              <f>'Pivots'!$F$14</f>
            </numRef>
          </val>
        </ser>
        <ser>
          <idx val="2"/>
          <order val="2"/>
          <tx>
            <v>Voiture</v>
          </tx>
          <spPr>
            <a:ln xmlns:a="http://schemas.openxmlformats.org/drawingml/2006/main">
              <a:prstDash val="solid"/>
            </a:ln>
          </spPr>
          <val>
            <numRef>
              <f>'Pivots'!$F$15</f>
            </numRef>
          </val>
        </ser>
        <ser>
          <idx val="3"/>
          <order val="3"/>
          <tx>
            <v>Alimentation</v>
          </tx>
          <spPr>
            <a:ln xmlns:a="http://schemas.openxmlformats.org/drawingml/2006/main">
              <a:prstDash val="solid"/>
            </a:ln>
          </spPr>
          <val>
            <numRef>
              <f>'Pivots'!$F$16</f>
            </numRef>
          </val>
        </ser>
        <ser>
          <idx val="4"/>
          <order val="4"/>
          <tx>
            <v>Invest. locatif</v>
          </tx>
          <spPr>
            <a:ln xmlns:a="http://schemas.openxmlformats.org/drawingml/2006/main">
              <a:prstDash val="solid"/>
            </a:ln>
          </spPr>
          <val>
            <numRef>
              <f>'Pivots'!$F$17</f>
            </numRef>
          </val>
        </ser>
        <ser>
          <idx val="5"/>
          <order val="5"/>
          <tx>
            <v>Rési. princip.</v>
          </tx>
          <spPr>
            <a:ln xmlns:a="http://schemas.openxmlformats.org/drawingml/2006/main">
              <a:prstDash val="solid"/>
            </a:ln>
          </spPr>
          <val>
            <numRef>
              <f>'Pivots'!$F$18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Épargne vs Dépenses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'Pivots'!G21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'Pivots'!$G$22</f>
            </numRef>
          </val>
        </ser>
        <ser>
          <idx val="1"/>
          <order val="1"/>
          <tx>
            <strRef>
              <f>'Pivots'!H21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Dépenses par catégorie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'Pivots'!$I$25:$I$30</f>
            </numRef>
          </cat>
          <val>
            <numRef>
              <f>'Pivots'!$J$25:$J$30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d'épargne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'Pivots'!K33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Patrimoine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'Pivots'!M37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'Pivots'!$M$38</f>
            </numRef>
          </val>
        </ser>
        <ser>
          <idx val="1"/>
          <order val="1"/>
          <tx>
            <strRef>
              <f>'Pivots'!N37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'Pivots'!$N$38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Objectif revenus annuels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'Pivots'!S55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'Pivots'!$S$56</f>
            </numRef>
          </val>
        </ser>
        <ser>
          <idx val="1"/>
          <order val="1"/>
          <tx>
            <strRef>
              <f>'Pivots'!T55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'Pivots'!$T$56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Objectif patrimoine net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'Pivots'!U61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'Pivots'!$U$62</f>
            </numRef>
          </val>
        </ser>
        <ser>
          <idx val="1"/>
          <order val="1"/>
          <tx>
            <strRef>
              <f>'Pivots'!V61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'Pivots'!$V$62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/Relationships>
</file>

<file path=xl/drawings/drawing1.xml><?xml version="1.0" encoding="utf-8"?>
<wsDr xmlns="http://schemas.openxmlformats.org/drawingml/2006/spreadsheetDrawing">
  <oneCellAnchor>
    <from>
      <col>2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46</row>
      <rowOff>0</rowOff>
    </from>
    <ext cx="108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23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40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40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57</row>
      <rowOff>0</rowOff>
    </from>
    <ext cx="648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57</row>
      <rowOff>0</rowOff>
    </from>
    <ext cx="648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437E68"/>
    <outlinePr summaryBelow="1" summaryRight="1"/>
    <pageSetUpPr/>
  </sheetPr>
  <dimension ref="B2:H123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Emeline SIRON</t>
        </is>
      </c>
      <c r="G2" s="2" t="inlineStr">
        <is>
          <t>ANNÉE :</t>
        </is>
      </c>
      <c r="H2" s="3" t="n">
        <v>2025</v>
      </c>
    </row>
    <row r="3">
      <c r="B3" s="4" t="inlineStr">
        <is>
          <t>Compte de résultats</t>
        </is>
      </c>
    </row>
    <row r="5">
      <c r="B5" s="5" t="inlineStr">
        <is>
          <t>CASH-FLOW</t>
        </is>
      </c>
      <c r="C5" s="6" t="inlineStr">
        <is>
          <t>Actuel</t>
        </is>
      </c>
      <c r="D5" s="6" t="n"/>
      <c r="E5" s="6" t="n"/>
      <c r="F5" s="6" t="inlineStr">
        <is>
          <t>Objectif</t>
        </is>
      </c>
      <c r="G5" s="6" t="inlineStr">
        <is>
          <t>Delta</t>
        </is>
      </c>
      <c r="H5" s="6" t="n"/>
    </row>
    <row r="6">
      <c r="C6" s="7" t="inlineStr">
        <is>
          <t>Lui</t>
        </is>
      </c>
      <c r="D6" s="7" t="inlineStr">
        <is>
          <t>Elle</t>
        </is>
      </c>
      <c r="E6" s="7" t="inlineStr">
        <is>
          <t>Foyer</t>
        </is>
      </c>
      <c r="F6" s="7" t="inlineStr">
        <is>
          <t>Goal</t>
        </is>
      </c>
      <c r="G6" s="7" t="inlineStr">
        <is>
          <t>∆</t>
        </is>
      </c>
    </row>
    <row r="8">
      <c r="B8" s="8" t="inlineStr">
        <is>
          <t>Total Revenus</t>
        </is>
      </c>
      <c r="C8" s="9">
        <f>C38</f>
        <v/>
      </c>
      <c r="D8" s="9">
        <f>D38</f>
        <v/>
      </c>
      <c r="E8" s="9">
        <f>E38</f>
        <v/>
      </c>
      <c r="F8" s="9">
        <f>F38</f>
        <v/>
      </c>
      <c r="G8" s="9">
        <f>E8-F8</f>
        <v/>
      </c>
    </row>
    <row r="9">
      <c r="B9" s="8" t="inlineStr">
        <is>
          <t>Total Dépenses</t>
        </is>
      </c>
      <c r="C9" s="9">
        <f>C122</f>
        <v/>
      </c>
      <c r="D9" s="9">
        <f>D122</f>
        <v/>
      </c>
      <c r="E9" s="9">
        <f>E122</f>
        <v/>
      </c>
      <c r="F9" s="9">
        <f>F122</f>
        <v/>
      </c>
      <c r="G9" s="9">
        <f>E9-F9</f>
        <v/>
      </c>
    </row>
    <row r="11">
      <c r="B11" s="5" t="inlineStr">
        <is>
          <t>TOTAL CASH-FLOW MENSUEL</t>
        </is>
      </c>
      <c r="C11" s="10">
        <f>C8-C9</f>
        <v/>
      </c>
      <c r="D11" s="10">
        <f>D8-D9</f>
        <v/>
      </c>
      <c r="E11" s="10">
        <f>E8-E9</f>
        <v/>
      </c>
      <c r="F11" s="10">
        <f>F8-F9</f>
        <v/>
      </c>
      <c r="G11" s="10">
        <f>E11-F11</f>
        <v/>
      </c>
    </row>
    <row r="12">
      <c r="B12" s="5" t="inlineStr">
        <is>
          <t>TOTAL CASH-FLOW ANNUEL</t>
        </is>
      </c>
      <c r="C12" s="10">
        <f>C11*12</f>
        <v/>
      </c>
      <c r="D12" s="10">
        <f>D11*12</f>
        <v/>
      </c>
      <c r="E12" s="10">
        <f>E11*12</f>
        <v/>
      </c>
      <c r="F12" s="10">
        <f>F11*12</f>
        <v/>
      </c>
      <c r="G12" s="10">
        <f>E12-F12</f>
        <v/>
      </c>
    </row>
    <row r="15">
      <c r="B15" s="11" t="inlineStr">
        <is>
          <t>REVENUS MENSUELS</t>
        </is>
      </c>
      <c r="C15" s="12" t="inlineStr">
        <is>
          <t>Actuel</t>
        </is>
      </c>
      <c r="D15" s="12" t="n"/>
      <c r="E15" s="12" t="n"/>
      <c r="F15" s="12" t="inlineStr">
        <is>
          <t>Objectif</t>
        </is>
      </c>
      <c r="G15" s="12" t="inlineStr">
        <is>
          <t>Delta</t>
        </is>
      </c>
      <c r="H15" s="12" t="inlineStr">
        <is>
          <t>Pourcentage</t>
        </is>
      </c>
    </row>
    <row r="16">
      <c r="C16" s="7" t="inlineStr">
        <is>
          <t>Lui</t>
        </is>
      </c>
      <c r="D16" s="7" t="inlineStr">
        <is>
          <t>Elle</t>
        </is>
      </c>
      <c r="E16" s="7" t="inlineStr">
        <is>
          <t>Foyer</t>
        </is>
      </c>
      <c r="F16" s="7" t="inlineStr">
        <is>
          <t>Goal</t>
        </is>
      </c>
      <c r="G16" s="7" t="inlineStr">
        <is>
          <t>∆</t>
        </is>
      </c>
    </row>
    <row r="17">
      <c r="B17" s="13" t="inlineStr">
        <is>
          <t>ACTIFS</t>
        </is>
      </c>
    </row>
    <row r="18">
      <c r="B18" s="8" t="inlineStr">
        <is>
          <t>Travail : Salaire</t>
        </is>
      </c>
      <c r="C18" t="n">
        <v>1500</v>
      </c>
      <c r="D18" t="n">
        <v>1200</v>
      </c>
      <c r="E18" s="9">
        <f>C18+D18</f>
        <v/>
      </c>
      <c r="F18" t="n">
        <v>6000</v>
      </c>
      <c r="G18" s="9">
        <f>E18-F18</f>
        <v/>
      </c>
    </row>
    <row r="19">
      <c r="B19" s="8" t="inlineStr">
        <is>
          <t>Travail : Prime</t>
        </is>
      </c>
      <c r="C19" t="n">
        <v>100</v>
      </c>
      <c r="E19" s="9">
        <f>C19+D19</f>
        <v/>
      </c>
      <c r="G19" s="9">
        <f>E19-F19</f>
        <v/>
      </c>
    </row>
    <row r="20">
      <c r="B20" s="8" t="inlineStr">
        <is>
          <t>Travail : Commission</t>
        </is>
      </c>
      <c r="D20" t="n">
        <v>100</v>
      </c>
      <c r="E20" s="9">
        <f>C20+D20</f>
        <v/>
      </c>
      <c r="G20" s="9">
        <f>E20-F20</f>
        <v/>
      </c>
    </row>
    <row r="21">
      <c r="B21" s="8" t="inlineStr">
        <is>
          <t>Travail : Bonus</t>
        </is>
      </c>
      <c r="C21" t="n">
        <v>50</v>
      </c>
      <c r="E21" s="9">
        <f>C21+D21</f>
        <v/>
      </c>
      <c r="G21" s="9">
        <f>E21-F21</f>
        <v/>
      </c>
    </row>
    <row r="22">
      <c r="B22" s="8" t="inlineStr">
        <is>
          <t>Travail : Dividende</t>
        </is>
      </c>
      <c r="D22" t="n">
        <v>50</v>
      </c>
      <c r="E22" s="9">
        <f>C22+D22</f>
        <v/>
      </c>
      <c r="G22" s="9">
        <f>E22-F22</f>
        <v/>
      </c>
    </row>
    <row r="23">
      <c r="B23" s="8" t="inlineStr">
        <is>
          <t>Travail : Micro-entrepreneur</t>
        </is>
      </c>
      <c r="C23" t="n">
        <v>150</v>
      </c>
      <c r="E23" s="9">
        <f>C23+D23</f>
        <v/>
      </c>
      <c r="G23" s="9">
        <f>E23-F23</f>
        <v/>
      </c>
    </row>
    <row r="24">
      <c r="B24" s="8" t="inlineStr">
        <is>
          <t>Autres sources</t>
        </is>
      </c>
      <c r="C24" t="n">
        <v>25</v>
      </c>
      <c r="E24" s="9">
        <f>C24+D24</f>
        <v/>
      </c>
      <c r="G24" s="9">
        <f>E24-F24</f>
        <v/>
      </c>
    </row>
    <row r="25">
      <c r="B25" s="14" t="inlineStr">
        <is>
          <t>TOTAL DES REVENUS ACTIFS</t>
        </is>
      </c>
      <c r="C25" s="15">
        <f>SUM(C18:C24)</f>
        <v/>
      </c>
      <c r="D25" s="15">
        <f>SUM(D18:D24)</f>
        <v/>
      </c>
      <c r="E25" s="15">
        <f>C25+D25</f>
        <v/>
      </c>
      <c r="F25" s="15">
        <f>SUM(F18:F24)</f>
        <v/>
      </c>
      <c r="G25" s="15">
        <f>E25-F25</f>
        <v/>
      </c>
      <c r="H25" s="16">
        <f>PRODUCT(E25,1)/$E$38</f>
        <v/>
      </c>
    </row>
    <row r="27">
      <c r="B27" s="13" t="inlineStr">
        <is>
          <t>PASSIFS</t>
        </is>
      </c>
    </row>
    <row r="28">
      <c r="B28" s="8" t="inlineStr">
        <is>
          <t>Immobilier : Loyers</t>
        </is>
      </c>
      <c r="C28" t="n">
        <v>1000</v>
      </c>
      <c r="E28" s="9">
        <f>C28+D28</f>
        <v/>
      </c>
      <c r="F28" t="n">
        <v>6000</v>
      </c>
      <c r="G28" s="9">
        <f>E28-F28</f>
        <v/>
      </c>
    </row>
    <row r="29">
      <c r="B29" s="8" t="inlineStr">
        <is>
          <t>Immobilier : Dividendes</t>
        </is>
      </c>
      <c r="D29" t="n">
        <v>500</v>
      </c>
      <c r="E29" s="9">
        <f>C29+D29</f>
        <v/>
      </c>
      <c r="G29" s="9">
        <f>E29-F29</f>
        <v/>
      </c>
    </row>
    <row r="30">
      <c r="B30" s="8" t="inlineStr">
        <is>
          <t>Bourse : Dividendes</t>
        </is>
      </c>
      <c r="C30" t="n">
        <v>550</v>
      </c>
      <c r="E30" s="9">
        <f>C30+D30</f>
        <v/>
      </c>
      <c r="G30" s="9">
        <f>E30-F30</f>
        <v/>
      </c>
    </row>
    <row r="31">
      <c r="B31" s="8" t="inlineStr">
        <is>
          <t>Bourse : Trading</t>
        </is>
      </c>
      <c r="D31" t="n">
        <v>650</v>
      </c>
      <c r="E31" s="9">
        <f>C31+D31</f>
        <v/>
      </c>
      <c r="G31" s="9">
        <f>E31-F31</f>
        <v/>
      </c>
    </row>
    <row r="32">
      <c r="B32" s="8" t="inlineStr">
        <is>
          <t>Private Equity</t>
        </is>
      </c>
      <c r="C32" t="n">
        <v>350</v>
      </c>
      <c r="D32" t="n">
        <v>300</v>
      </c>
      <c r="E32" s="9">
        <f>C32+D32</f>
        <v/>
      </c>
      <c r="G32" s="9">
        <f>E32-F32</f>
        <v/>
      </c>
    </row>
    <row r="33">
      <c r="B33" s="8" t="inlineStr">
        <is>
          <t>Crowdfunding</t>
        </is>
      </c>
      <c r="C33" t="n">
        <v>150</v>
      </c>
      <c r="D33" t="n">
        <v>250</v>
      </c>
      <c r="E33" s="9">
        <f>C33+D33</f>
        <v/>
      </c>
      <c r="G33" s="9">
        <f>E33-F33</f>
        <v/>
      </c>
    </row>
    <row r="34">
      <c r="B34" s="8" t="inlineStr">
        <is>
          <t>Autres sources</t>
        </is>
      </c>
      <c r="D34" t="n">
        <v>150</v>
      </c>
      <c r="E34" s="9">
        <f>C34+D34</f>
        <v/>
      </c>
      <c r="G34" s="9">
        <f>E34-F34</f>
        <v/>
      </c>
    </row>
    <row r="35">
      <c r="B35" s="14" t="inlineStr">
        <is>
          <t>TOTAL DES REVENUS PASSIFS</t>
        </is>
      </c>
      <c r="C35" s="15">
        <f>SUM(C28:C34)</f>
        <v/>
      </c>
      <c r="D35" s="15">
        <f>SUM(D28:D34)</f>
        <v/>
      </c>
      <c r="E35" s="15">
        <f>C35+D35</f>
        <v/>
      </c>
      <c r="F35" s="15">
        <f>SUM(F28:F34)</f>
        <v/>
      </c>
      <c r="G35" s="15">
        <f>E35-F35</f>
        <v/>
      </c>
      <c r="H35" s="16">
        <f>PRODUCT(E35,1)/$E$38</f>
        <v/>
      </c>
    </row>
    <row r="38">
      <c r="B38" s="11" t="inlineStr">
        <is>
          <t>TOTAL REVENUS MENSUELS</t>
        </is>
      </c>
      <c r="C38" s="17">
        <f>C25+C35</f>
        <v/>
      </c>
      <c r="D38" s="17">
        <f>D25+D35</f>
        <v/>
      </c>
      <c r="E38" s="17">
        <f>E25+E35</f>
        <v/>
      </c>
      <c r="F38" s="17">
        <f>F25+F35</f>
        <v/>
      </c>
      <c r="G38" s="17">
        <f>E38-F38</f>
        <v/>
      </c>
    </row>
    <row r="39">
      <c r="B39" s="11" t="inlineStr">
        <is>
          <t>TOTAL REVENUS ANNUELS</t>
        </is>
      </c>
      <c r="C39" s="17">
        <f>C38*12</f>
        <v/>
      </c>
      <c r="D39" s="17">
        <f>D38*12</f>
        <v/>
      </c>
      <c r="E39" s="17">
        <f>E38*12</f>
        <v/>
      </c>
      <c r="F39" s="17">
        <f>F38*12</f>
        <v/>
      </c>
      <c r="G39" s="17">
        <f>E39-F39</f>
        <v/>
      </c>
    </row>
    <row r="42">
      <c r="B42" s="18" t="inlineStr">
        <is>
          <t>ÉPARGNE MENSUELLE</t>
        </is>
      </c>
      <c r="C42" s="19" t="inlineStr">
        <is>
          <t>Actuel</t>
        </is>
      </c>
      <c r="D42" s="19" t="n"/>
      <c r="E42" s="19" t="n"/>
      <c r="F42" s="19" t="inlineStr">
        <is>
          <t>Objectif</t>
        </is>
      </c>
      <c r="G42" s="19" t="inlineStr">
        <is>
          <t>Delta</t>
        </is>
      </c>
      <c r="H42" s="19" t="inlineStr">
        <is>
          <t>Pourcentage</t>
        </is>
      </c>
    </row>
    <row r="43">
      <c r="C43" s="7" t="inlineStr">
        <is>
          <t>Lui</t>
        </is>
      </c>
      <c r="D43" s="7" t="inlineStr">
        <is>
          <t>Elle</t>
        </is>
      </c>
      <c r="E43" s="7" t="inlineStr">
        <is>
          <t>Foyer</t>
        </is>
      </c>
      <c r="F43" s="7" t="inlineStr">
        <is>
          <t>Goal</t>
        </is>
      </c>
      <c r="G43" s="7" t="inlineStr">
        <is>
          <t>∆</t>
        </is>
      </c>
    </row>
    <row r="44">
      <c r="B44" s="13" t="inlineStr">
        <is>
          <t>NON NÉGOCIABLE</t>
        </is>
      </c>
    </row>
    <row r="45">
      <c r="B45" s="8" t="inlineStr">
        <is>
          <t>Épargne</t>
        </is>
      </c>
      <c r="C45" t="n">
        <v>1000</v>
      </c>
      <c r="D45" t="n">
        <v>2500</v>
      </c>
      <c r="E45" s="9">
        <f>C45+D45</f>
        <v/>
      </c>
      <c r="F45" t="n">
        <v>5500</v>
      </c>
      <c r="G45" s="9">
        <f>E45-F45</f>
        <v/>
      </c>
    </row>
    <row r="46">
      <c r="B46" s="14" t="inlineStr">
        <is>
          <t>TOTAL DE L'ÉPARGNE</t>
        </is>
      </c>
      <c r="C46" s="15">
        <f>SUM(C45)</f>
        <v/>
      </c>
      <c r="D46" s="15">
        <f>SUM(D45)</f>
        <v/>
      </c>
      <c r="E46" s="15">
        <f>C46+D46</f>
        <v/>
      </c>
      <c r="F46" s="15">
        <f>SUM(F45)</f>
        <v/>
      </c>
      <c r="G46" s="15">
        <f>E46-F46</f>
        <v/>
      </c>
      <c r="H46" s="16">
        <f>PRODUCT(E46,1)/$E$38</f>
        <v/>
      </c>
    </row>
    <row r="49">
      <c r="B49" s="18" t="inlineStr">
        <is>
          <t>TOTAL ÉPARGNE MENSUELLE</t>
        </is>
      </c>
      <c r="C49" s="20">
        <f>C46</f>
        <v/>
      </c>
      <c r="D49" s="20">
        <f>D46</f>
        <v/>
      </c>
      <c r="E49" s="20">
        <f>E46</f>
        <v/>
      </c>
      <c r="F49" s="20">
        <f>F46</f>
        <v/>
      </c>
      <c r="G49" s="20">
        <f>E49-F49</f>
        <v/>
      </c>
    </row>
    <row r="50">
      <c r="B50" s="18" t="inlineStr">
        <is>
          <t>TOTAL ÉPARGNE ANNUELLE</t>
        </is>
      </c>
      <c r="C50" s="20">
        <f>PRODUCT(C49,12)</f>
        <v/>
      </c>
      <c r="D50" s="20">
        <f>PRODUCT(D49,12)</f>
        <v/>
      </c>
      <c r="E50" s="20">
        <f>PRODUCT(E49,12)</f>
        <v/>
      </c>
      <c r="F50" s="20">
        <f>PRODUCT(F49,12)</f>
        <v/>
      </c>
      <c r="G50" s="20">
        <f>E50-F50</f>
        <v/>
      </c>
    </row>
    <row r="53">
      <c r="B53" s="21" t="inlineStr">
        <is>
          <t>DÉPENSES MENSUELLES</t>
        </is>
      </c>
      <c r="C53" s="22" t="inlineStr">
        <is>
          <t>Actuel</t>
        </is>
      </c>
      <c r="D53" s="22" t="n"/>
      <c r="E53" s="22" t="n"/>
      <c r="F53" s="22" t="inlineStr">
        <is>
          <t>Objectif</t>
        </is>
      </c>
      <c r="G53" s="22" t="inlineStr">
        <is>
          <t>Delta</t>
        </is>
      </c>
      <c r="H53" s="22" t="inlineStr">
        <is>
          <t>Pourcentage</t>
        </is>
      </c>
    </row>
    <row r="54">
      <c r="C54" s="7" t="inlineStr">
        <is>
          <t>Lui</t>
        </is>
      </c>
      <c r="D54" s="7" t="inlineStr">
        <is>
          <t>Elle</t>
        </is>
      </c>
      <c r="E54" s="7" t="inlineStr">
        <is>
          <t>Foyer</t>
        </is>
      </c>
      <c r="F54" s="7" t="inlineStr">
        <is>
          <t>Goal</t>
        </is>
      </c>
      <c r="G54" s="7" t="inlineStr">
        <is>
          <t>∆</t>
        </is>
      </c>
    </row>
    <row r="55">
      <c r="B55" s="13" t="inlineStr">
        <is>
          <t>SURVIE</t>
        </is>
      </c>
    </row>
    <row r="56">
      <c r="B56" s="8" t="inlineStr">
        <is>
          <t>Alimentation : Courses</t>
        </is>
      </c>
      <c r="C56" t="n">
        <v>300</v>
      </c>
      <c r="D56" t="n">
        <v>250</v>
      </c>
      <c r="E56" s="9">
        <f>C56+D56</f>
        <v/>
      </c>
      <c r="G56" s="9">
        <f>E56-F56</f>
        <v/>
      </c>
    </row>
    <row r="57">
      <c r="B57" s="8" t="inlineStr">
        <is>
          <t>Frais bancaires</t>
        </is>
      </c>
      <c r="C57" t="n">
        <v>20</v>
      </c>
      <c r="D57" t="n">
        <v>20</v>
      </c>
      <c r="E57" s="9">
        <f>C57+D57</f>
        <v/>
      </c>
      <c r="G57" s="9">
        <f>E57-F57</f>
        <v/>
      </c>
    </row>
    <row r="58">
      <c r="B58" s="8" t="inlineStr">
        <is>
          <t>Impôt sur les revenus</t>
        </is>
      </c>
      <c r="D58" t="n">
        <v>50</v>
      </c>
      <c r="E58" s="9">
        <f>C58+D58</f>
        <v/>
      </c>
      <c r="G58" s="9">
        <f>E58-F58</f>
        <v/>
      </c>
    </row>
    <row r="59">
      <c r="B59" s="8" t="inlineStr">
        <is>
          <t>Résidence principale : Assurance habitation</t>
        </is>
      </c>
      <c r="D59" t="n">
        <v>20</v>
      </c>
      <c r="E59" s="9">
        <f>C59+D59</f>
        <v/>
      </c>
      <c r="G59" s="9">
        <f>E59-F59</f>
        <v/>
      </c>
    </row>
    <row r="60">
      <c r="B60" s="8" t="inlineStr">
        <is>
          <t>Résidence principale : Charges de copro/lotissement</t>
        </is>
      </c>
      <c r="D60" t="n">
        <v>80</v>
      </c>
      <c r="E60" s="9">
        <f>C60+D60</f>
        <v/>
      </c>
      <c r="G60" s="9">
        <f>E60-F60</f>
        <v/>
      </c>
    </row>
    <row r="61">
      <c r="B61" s="8" t="inlineStr">
        <is>
          <t>Résidence principale : Eau</t>
        </is>
      </c>
      <c r="D61" t="n">
        <v>50</v>
      </c>
      <c r="E61" s="9">
        <f>C61+D61</f>
        <v/>
      </c>
      <c r="G61" s="9">
        <f>E61-F61</f>
        <v/>
      </c>
    </row>
    <row r="62">
      <c r="B62" s="8" t="inlineStr">
        <is>
          <t>Résidence principale : Électricité</t>
        </is>
      </c>
      <c r="D62" t="n">
        <v>50</v>
      </c>
      <c r="E62" s="9">
        <f>C62+D62</f>
        <v/>
      </c>
      <c r="G62" s="9">
        <f>E62-F62</f>
        <v/>
      </c>
    </row>
    <row r="63">
      <c r="B63" s="8" t="inlineStr">
        <is>
          <t>Résidence principale : Gaz</t>
        </is>
      </c>
      <c r="D63" t="n">
        <v>50</v>
      </c>
      <c r="E63" s="9">
        <f>C63+D63</f>
        <v/>
      </c>
      <c r="G63" s="9">
        <f>E63-F63</f>
        <v/>
      </c>
    </row>
    <row r="64">
      <c r="B64" s="8" t="inlineStr">
        <is>
          <t>Résidence principale : Loyer ou mensualité</t>
        </is>
      </c>
      <c r="C64" t="n">
        <v>1500</v>
      </c>
      <c r="E64" s="9">
        <f>C64+D64</f>
        <v/>
      </c>
      <c r="G64" s="9">
        <f>E64-F64</f>
        <v/>
      </c>
    </row>
    <row r="65">
      <c r="B65" s="8" t="inlineStr">
        <is>
          <t>Résidence principale : Taxe foncière</t>
        </is>
      </c>
      <c r="C65" t="n">
        <v>1200</v>
      </c>
      <c r="E65" s="9">
        <f>C65+D65</f>
        <v/>
      </c>
      <c r="G65" s="9">
        <f>E65-F65</f>
        <v/>
      </c>
    </row>
    <row r="66">
      <c r="B66" s="8" t="inlineStr">
        <is>
          <t>Autres dépenses</t>
        </is>
      </c>
      <c r="E66" s="9">
        <f>C66+D66</f>
        <v/>
      </c>
      <c r="G66" s="9">
        <f>E66-F66</f>
        <v/>
      </c>
    </row>
    <row r="67">
      <c r="B67" s="14" t="inlineStr">
        <is>
          <t>TOTAL DES DÉPENSES SURVIE</t>
        </is>
      </c>
      <c r="C67" s="15">
        <f>SUM(C56:C66)</f>
        <v/>
      </c>
      <c r="D67" s="15">
        <f>SUM(D56:D66)</f>
        <v/>
      </c>
      <c r="E67" s="15">
        <f>C67+D67</f>
        <v/>
      </c>
      <c r="F67" s="15">
        <f>SUM(F56:F66)</f>
        <v/>
      </c>
      <c r="G67" s="15">
        <f>E67-F67</f>
        <v/>
      </c>
      <c r="H67" s="16">
        <f>PRODUCT(E67,1)/$E$38</f>
        <v/>
      </c>
    </row>
    <row r="69">
      <c r="B69" s="13" t="inlineStr">
        <is>
          <t>ESSENTIEL</t>
        </is>
      </c>
    </row>
    <row r="70">
      <c r="B70" s="8" t="inlineStr">
        <is>
          <t>Abonnement téléphone</t>
        </is>
      </c>
      <c r="C70" t="n">
        <v>25</v>
      </c>
      <c r="D70" t="n">
        <v>20</v>
      </c>
      <c r="E70" s="9">
        <f>C70+D70</f>
        <v/>
      </c>
      <c r="G70" s="9">
        <f>E70-F70</f>
        <v/>
      </c>
    </row>
    <row r="71">
      <c r="B71" s="8" t="inlineStr">
        <is>
          <t>Animaux</t>
        </is>
      </c>
      <c r="E71" s="9">
        <f>C71+D71</f>
        <v/>
      </c>
      <c r="G71" s="9">
        <f>E71-F71</f>
        <v/>
      </c>
    </row>
    <row r="72">
      <c r="B72" s="8" t="inlineStr">
        <is>
          <t>Crèche/garderie/nounou</t>
        </is>
      </c>
      <c r="E72" s="9">
        <f>C72+D72</f>
        <v/>
      </c>
      <c r="G72" s="9">
        <f>E72-F72</f>
        <v/>
      </c>
    </row>
    <row r="73">
      <c r="B73" s="8" t="inlineStr">
        <is>
          <t>Résidence principale : Abonnement câble/Netflix</t>
        </is>
      </c>
      <c r="C73" t="n">
        <v>20</v>
      </c>
      <c r="E73" s="9">
        <f>C73+D73</f>
        <v/>
      </c>
      <c r="G73" s="9">
        <f>E73-F73</f>
        <v/>
      </c>
    </row>
    <row r="74">
      <c r="B74" s="8" t="inlineStr">
        <is>
          <t>Résidence principale : Abonnement internet</t>
        </is>
      </c>
      <c r="C74" t="n">
        <v>20</v>
      </c>
      <c r="E74" s="9">
        <f>C74+D74</f>
        <v/>
      </c>
      <c r="G74" s="9">
        <f>E74-F74</f>
        <v/>
      </c>
    </row>
    <row r="75">
      <c r="B75" s="8" t="inlineStr">
        <is>
          <t>Résidence principale : Réparations</t>
        </is>
      </c>
      <c r="D75" t="n">
        <v>10</v>
      </c>
      <c r="E75" s="9">
        <f>C75+D75</f>
        <v/>
      </c>
      <c r="G75" s="9">
        <f>E75-F75</f>
        <v/>
      </c>
    </row>
    <row r="76">
      <c r="B76" s="8" t="inlineStr">
        <is>
          <t>Investissements immobiliers : Assurance emprunteur</t>
        </is>
      </c>
      <c r="E76" s="9">
        <f>C76+D76</f>
        <v/>
      </c>
      <c r="G76" s="9">
        <f>E76-F76</f>
        <v/>
      </c>
    </row>
    <row r="77">
      <c r="B77" s="8" t="inlineStr">
        <is>
          <t>Investissements immobiliers : Assurance PNO</t>
        </is>
      </c>
      <c r="C77" t="n">
        <v>10</v>
      </c>
      <c r="E77" s="9">
        <f>C77+D77</f>
        <v/>
      </c>
      <c r="G77" s="9">
        <f>E77-F77</f>
        <v/>
      </c>
    </row>
    <row r="78">
      <c r="B78" s="8" t="inlineStr">
        <is>
          <t>Investissements immobiliers : Charges de copro/loti</t>
        </is>
      </c>
      <c r="D78" t="n">
        <v>80</v>
      </c>
      <c r="E78" s="9">
        <f>C78+D78</f>
        <v/>
      </c>
      <c r="G78" s="9">
        <f>E78-F78</f>
        <v/>
      </c>
    </row>
    <row r="79">
      <c r="B79" s="8" t="inlineStr">
        <is>
          <t>Investissements immobiliers : CFE</t>
        </is>
      </c>
      <c r="C79" t="n">
        <v>40</v>
      </c>
      <c r="E79" s="9">
        <f>C79+D79</f>
        <v/>
      </c>
      <c r="G79" s="9">
        <f>E79-F79</f>
        <v/>
      </c>
    </row>
    <row r="80">
      <c r="B80" s="8" t="inlineStr">
        <is>
          <t>Investissements immobiliers : Eau/électricité/gaz</t>
        </is>
      </c>
      <c r="D80" t="n">
        <v>35</v>
      </c>
      <c r="E80" s="9">
        <f>C80+D80</f>
        <v/>
      </c>
      <c r="G80" s="9">
        <f>E80-F80</f>
        <v/>
      </c>
    </row>
    <row r="81">
      <c r="B81" s="8" t="inlineStr">
        <is>
          <t>Investissements immobiliers : Frais de gestion</t>
        </is>
      </c>
      <c r="C81" t="n">
        <v>45</v>
      </c>
      <c r="E81" s="9">
        <f>C81+D81</f>
        <v/>
      </c>
      <c r="G81" s="9">
        <f>E81-F81</f>
        <v/>
      </c>
    </row>
    <row r="82">
      <c r="B82" s="8" t="inlineStr">
        <is>
          <t>Investissements immobiliers : Mensualité de crédit</t>
        </is>
      </c>
      <c r="C82" t="n">
        <v>500</v>
      </c>
      <c r="D82" t="n">
        <v>500</v>
      </c>
      <c r="E82" s="9">
        <f>C82+D82</f>
        <v/>
      </c>
      <c r="G82" s="9">
        <f>E82-F82</f>
        <v/>
      </c>
    </row>
    <row r="83">
      <c r="B83" s="8" t="inlineStr">
        <is>
          <t>Investissements immobiliers : Taxe foncière</t>
        </is>
      </c>
      <c r="C83" t="n">
        <v>50</v>
      </c>
      <c r="D83" t="n">
        <v>50</v>
      </c>
      <c r="E83" s="9">
        <f>C83+D83</f>
        <v/>
      </c>
      <c r="G83" s="9">
        <f>E83-F83</f>
        <v/>
      </c>
    </row>
    <row r="84">
      <c r="B84" s="8" t="inlineStr">
        <is>
          <t>Investissements immobiliers : Travaux/réparations</t>
        </is>
      </c>
      <c r="D84" t="n">
        <v>100</v>
      </c>
      <c r="E84" s="9">
        <f>C84+D84</f>
        <v/>
      </c>
      <c r="G84" s="9">
        <f>E84-F84</f>
        <v/>
      </c>
    </row>
    <row r="85">
      <c r="B85" s="8" t="inlineStr">
        <is>
          <t>Mutuelle</t>
        </is>
      </c>
      <c r="E85" s="9">
        <f>C85+D85</f>
        <v/>
      </c>
      <c r="G85" s="9">
        <f>E85-F85</f>
        <v/>
      </c>
    </row>
    <row r="86">
      <c r="B86" s="8" t="inlineStr">
        <is>
          <t>Assurance auto/moto</t>
        </is>
      </c>
      <c r="E86" s="9">
        <f>C86+D86</f>
        <v/>
      </c>
      <c r="G86" s="9">
        <f>E86-F86</f>
        <v/>
      </c>
    </row>
    <row r="87">
      <c r="B87" s="8" t="inlineStr">
        <is>
          <t>Assurance vie / décès</t>
        </is>
      </c>
      <c r="E87" s="9">
        <f>C87+D87</f>
        <v/>
      </c>
      <c r="G87" s="9">
        <f>E87-F87</f>
        <v/>
      </c>
    </row>
    <row r="88">
      <c r="B88" s="8" t="inlineStr">
        <is>
          <t>Prévoyance</t>
        </is>
      </c>
      <c r="E88" s="9">
        <f>C88+D88</f>
        <v/>
      </c>
      <c r="G88" s="9">
        <f>E88-F88</f>
        <v/>
      </c>
    </row>
    <row r="89">
      <c r="B89" s="8" t="inlineStr">
        <is>
          <t>Transport : Essence</t>
        </is>
      </c>
      <c r="C89" t="n">
        <v>200</v>
      </c>
      <c r="D89" t="n">
        <v>50</v>
      </c>
      <c r="E89" s="9">
        <f>C89+D89</f>
        <v/>
      </c>
      <c r="G89" s="9">
        <f>E89-F89</f>
        <v/>
      </c>
    </row>
    <row r="90">
      <c r="B90" s="8" t="inlineStr">
        <is>
          <t>Transport : Parking</t>
        </is>
      </c>
      <c r="E90" s="9">
        <f>C90+D90</f>
        <v/>
      </c>
      <c r="G90" s="9">
        <f>E90-F90</f>
        <v/>
      </c>
    </row>
    <row r="91">
      <c r="B91" s="8" t="inlineStr">
        <is>
          <t>Transport : Crédit/LOA</t>
        </is>
      </c>
      <c r="C91" t="n">
        <v>150</v>
      </c>
      <c r="D91" t="n">
        <v>50</v>
      </c>
      <c r="E91" s="9">
        <f>C91+D91</f>
        <v/>
      </c>
      <c r="G91" s="9">
        <f>E91-F91</f>
        <v/>
      </c>
    </row>
    <row r="92">
      <c r="B92" s="8" t="inlineStr">
        <is>
          <t>Transport : Abonnement</t>
        </is>
      </c>
      <c r="E92" s="9">
        <f>C92+D92</f>
        <v/>
      </c>
      <c r="G92" s="9">
        <f>E92-F92</f>
        <v/>
      </c>
    </row>
    <row r="93">
      <c r="B93" s="8" t="inlineStr">
        <is>
          <t>Autres dépenses</t>
        </is>
      </c>
      <c r="E93" s="9">
        <f>C93+D93</f>
        <v/>
      </c>
      <c r="G93" s="9">
        <f>E93-F93</f>
        <v/>
      </c>
    </row>
    <row r="94">
      <c r="B94" s="14" t="inlineStr">
        <is>
          <t>TOTAL DES DÉPENSES ESSENTIELLES</t>
        </is>
      </c>
      <c r="C94" s="15">
        <f>SUM(C70:C93)</f>
        <v/>
      </c>
      <c r="D94" s="15">
        <f>SUM(D70:D93)</f>
        <v/>
      </c>
      <c r="E94" s="15">
        <f>C94+D94</f>
        <v/>
      </c>
      <c r="F94" s="15">
        <f>SUM(F70:F93)</f>
        <v/>
      </c>
      <c r="G94" s="15">
        <f>E94-F94</f>
        <v/>
      </c>
      <c r="H94" s="16">
        <f>PRODUCT(E94,1)/$E$38</f>
        <v/>
      </c>
    </row>
    <row r="96">
      <c r="B96" s="13" t="inlineStr">
        <is>
          <t>CONFORT</t>
        </is>
      </c>
    </row>
    <row r="97">
      <c r="B97" s="8" t="inlineStr">
        <is>
          <t>Abonnement salle de sport</t>
        </is>
      </c>
      <c r="E97" s="9">
        <f>C97+D97</f>
        <v/>
      </c>
      <c r="G97" s="9">
        <f>E97-F97</f>
        <v/>
      </c>
    </row>
    <row r="98">
      <c r="B98" s="8" t="inlineStr">
        <is>
          <t>Activité / sorties</t>
        </is>
      </c>
      <c r="E98" s="9">
        <f>C98+D98</f>
        <v/>
      </c>
      <c r="G98" s="9">
        <f>E98-F98</f>
        <v/>
      </c>
    </row>
    <row r="99">
      <c r="B99" s="8" t="inlineStr">
        <is>
          <t>Alimentation : Restaurant</t>
        </is>
      </c>
      <c r="C99" t="n">
        <v>100</v>
      </c>
      <c r="D99" t="n">
        <v>50</v>
      </c>
      <c r="E99" s="9">
        <f>C99+D99</f>
        <v/>
      </c>
      <c r="G99" s="9">
        <f>E99-F99</f>
        <v/>
      </c>
    </row>
    <row r="100">
      <c r="B100" s="8" t="inlineStr">
        <is>
          <t>Cadeaux</t>
        </is>
      </c>
      <c r="C100" t="n">
        <v>20</v>
      </c>
      <c r="E100" s="9">
        <f>C100+D100</f>
        <v/>
      </c>
      <c r="G100" s="9">
        <f>E100-F100</f>
        <v/>
      </c>
    </row>
    <row r="101">
      <c r="B101" s="8" t="inlineStr">
        <is>
          <t>Éducation / Formation</t>
        </is>
      </c>
      <c r="E101" s="9">
        <f>C101+D101</f>
        <v/>
      </c>
      <c r="G101" s="9">
        <f>E101-F101</f>
        <v/>
      </c>
    </row>
    <row r="102">
      <c r="B102" s="8" t="inlineStr">
        <is>
          <t>Garde-robe</t>
        </is>
      </c>
      <c r="D102" t="n">
        <v>150</v>
      </c>
      <c r="E102" s="9">
        <f>C102+D102</f>
        <v/>
      </c>
      <c r="G102" s="9">
        <f>E102-F102</f>
        <v/>
      </c>
    </row>
    <row r="103">
      <c r="B103" s="8" t="inlineStr">
        <is>
          <t>Loisirs / Hobbies</t>
        </is>
      </c>
      <c r="E103" s="9">
        <f>C103+D103</f>
        <v/>
      </c>
      <c r="G103" s="9">
        <f>E103-F103</f>
        <v/>
      </c>
    </row>
    <row r="104">
      <c r="B104" s="8" t="inlineStr">
        <is>
          <t>Vacances</t>
        </is>
      </c>
      <c r="E104" s="9">
        <f>C104+D104</f>
        <v/>
      </c>
      <c r="G104" s="9">
        <f>E104-F104</f>
        <v/>
      </c>
    </row>
    <row r="105">
      <c r="B105" s="8" t="inlineStr">
        <is>
          <t>Bien-être / Santé</t>
        </is>
      </c>
      <c r="E105" s="9">
        <f>C105+D105</f>
        <v/>
      </c>
      <c r="G105" s="9">
        <f>E105-F105</f>
        <v/>
      </c>
    </row>
    <row r="106">
      <c r="B106" s="8" t="inlineStr">
        <is>
          <t>Autres dépenses</t>
        </is>
      </c>
      <c r="E106" s="9">
        <f>C106+D106</f>
        <v/>
      </c>
      <c r="G106" s="9">
        <f>E106-F106</f>
        <v/>
      </c>
    </row>
    <row r="107">
      <c r="B107" s="14" t="inlineStr">
        <is>
          <t>TOTAL DES DÉPENSES CONFORT</t>
        </is>
      </c>
      <c r="C107" s="15">
        <f>SUM(C97:C106)</f>
        <v/>
      </c>
      <c r="D107" s="15">
        <f>SUM(D97:D106)</f>
        <v/>
      </c>
      <c r="E107" s="15">
        <f>C107+D107</f>
        <v/>
      </c>
      <c r="F107" s="15">
        <f>SUM(F97:F106)</f>
        <v/>
      </c>
      <c r="G107" s="15">
        <f>E107-F107</f>
        <v/>
      </c>
      <c r="H107" s="16">
        <f>PRODUCT(E107,1)/$E$38</f>
        <v/>
      </c>
    </row>
    <row r="109">
      <c r="B109" s="13" t="inlineStr">
        <is>
          <t>DONS</t>
        </is>
      </c>
    </row>
    <row r="110">
      <c r="B110" s="8" t="inlineStr">
        <is>
          <t>Association</t>
        </is>
      </c>
      <c r="E110" s="9">
        <f>C110+D110</f>
        <v/>
      </c>
      <c r="G110" s="9">
        <f>E110-F110</f>
        <v/>
      </c>
    </row>
    <row r="111">
      <c r="B111" s="8" t="inlineStr">
        <is>
          <t>Impôt / Zakat</t>
        </is>
      </c>
      <c r="E111" s="9">
        <f>C111+D111</f>
        <v/>
      </c>
      <c r="G111" s="9">
        <f>E111-F111</f>
        <v/>
      </c>
    </row>
    <row r="112">
      <c r="B112" s="8" t="inlineStr">
        <is>
          <t>Église / Mosquée / Synagogue</t>
        </is>
      </c>
      <c r="E112" s="9">
        <f>C112+D112</f>
        <v/>
      </c>
      <c r="G112" s="9">
        <f>E112-F112</f>
        <v/>
      </c>
    </row>
    <row r="113">
      <c r="B113" s="8" t="inlineStr">
        <is>
          <t>Autres dons</t>
        </is>
      </c>
      <c r="E113" s="9">
        <f>C113+D113</f>
        <v/>
      </c>
      <c r="G113" s="9">
        <f>E113-F113</f>
        <v/>
      </c>
    </row>
    <row r="114">
      <c r="B114" s="14" t="inlineStr">
        <is>
          <t>TOTAL DES DONS</t>
        </is>
      </c>
      <c r="C114" s="15">
        <f>SUM(C110:C113)</f>
        <v/>
      </c>
      <c r="D114" s="15">
        <f>SUM(D110:D113)</f>
        <v/>
      </c>
      <c r="E114" s="15">
        <f>C114+D114</f>
        <v/>
      </c>
      <c r="F114" s="15">
        <f>SUM(F110:F113)</f>
        <v/>
      </c>
      <c r="G114" s="15">
        <f>E114-F114</f>
        <v/>
      </c>
      <c r="H114" s="16">
        <f>PRODUCT(E114,1)/$E$38</f>
        <v/>
      </c>
    </row>
    <row r="116">
      <c r="B116" s="13" t="inlineStr">
        <is>
          <t>ENFANTS</t>
        </is>
      </c>
    </row>
    <row r="117">
      <c r="B117" s="8" t="inlineStr">
        <is>
          <t>Scolarité</t>
        </is>
      </c>
      <c r="E117" s="9">
        <f>C117+D117</f>
        <v/>
      </c>
      <c r="G117" s="9">
        <f>E117-F117</f>
        <v/>
      </c>
    </row>
    <row r="118">
      <c r="B118" s="8" t="inlineStr">
        <is>
          <t>Activités</t>
        </is>
      </c>
      <c r="E118" s="9">
        <f>C118+D118</f>
        <v/>
      </c>
      <c r="G118" s="9">
        <f>E118-F118</f>
        <v/>
      </c>
    </row>
    <row r="119">
      <c r="B119" s="8" t="inlineStr">
        <is>
          <t>Autres</t>
        </is>
      </c>
      <c r="E119" s="9">
        <f>C119+D119</f>
        <v/>
      </c>
      <c r="G119" s="9">
        <f>E119-F119</f>
        <v/>
      </c>
    </row>
    <row r="120">
      <c r="B120" s="14" t="inlineStr">
        <is>
          <t>TOTAL ENFANTS</t>
        </is>
      </c>
      <c r="C120" s="15">
        <f>SUM(C117:C119)</f>
        <v/>
      </c>
      <c r="D120" s="15">
        <f>SUM(D117:D119)</f>
        <v/>
      </c>
      <c r="E120" s="15">
        <f>C120+D120</f>
        <v/>
      </c>
      <c r="F120" s="15">
        <f>SUM(F117:F119)</f>
        <v/>
      </c>
      <c r="G120" s="15">
        <f>E120-F120</f>
        <v/>
      </c>
      <c r="H120" s="16">
        <f>PRODUCT(E120,1)/$E$38</f>
        <v/>
      </c>
    </row>
    <row r="122">
      <c r="B122" s="21" t="inlineStr">
        <is>
          <t>TOTAL DÉPENSES MENSUELLES</t>
        </is>
      </c>
      <c r="C122" s="23">
        <f>C67+C94+C107+C114+C120</f>
        <v/>
      </c>
      <c r="D122" s="23">
        <f>D67+D94+D107+D114+D120</f>
        <v/>
      </c>
      <c r="E122" s="23">
        <f>E67+E94+E107+E114+E120</f>
        <v/>
      </c>
      <c r="F122" s="23">
        <f>F67+F94+F107+F114+F120</f>
        <v/>
      </c>
      <c r="G122" s="23">
        <f>E122-F122</f>
        <v/>
      </c>
    </row>
    <row r="123">
      <c r="B123" s="21" t="inlineStr">
        <is>
          <t>TOTAL DÉPENSES ANNUELLES</t>
        </is>
      </c>
      <c r="C123" s="23">
        <f>C122*12</f>
        <v/>
      </c>
      <c r="D123" s="23">
        <f>D122*12</f>
        <v/>
      </c>
      <c r="E123" s="23">
        <f>E122*12</f>
        <v/>
      </c>
      <c r="F123" s="23">
        <f>F122*12</f>
        <v/>
      </c>
      <c r="G123" s="23">
        <f>E123-F123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37E68"/>
    <outlinePr summaryBelow="1" summaryRight="1"/>
    <pageSetUpPr/>
  </sheetPr>
  <dimension ref="B2:H130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Emeline SIRON</t>
        </is>
      </c>
      <c r="G2" s="2" t="inlineStr">
        <is>
          <t>ANNÉE :</t>
        </is>
      </c>
      <c r="H2" s="3" t="n">
        <v>2025</v>
      </c>
    </row>
    <row r="3">
      <c r="B3" s="4" t="inlineStr">
        <is>
          <t>Bilan</t>
        </is>
      </c>
    </row>
    <row r="5">
      <c r="B5" s="5" t="inlineStr">
        <is>
          <t>PATRIMOINE</t>
        </is>
      </c>
      <c r="C5" s="6" t="inlineStr">
        <is>
          <t>Actuel</t>
        </is>
      </c>
      <c r="D5" s="6" t="n"/>
      <c r="E5" s="6" t="n"/>
      <c r="F5" s="6" t="inlineStr">
        <is>
          <t>Objectif</t>
        </is>
      </c>
      <c r="G5" s="6" t="inlineStr">
        <is>
          <t>Delta</t>
        </is>
      </c>
      <c r="H5" s="6" t="n"/>
    </row>
    <row r="6">
      <c r="C6" s="7" t="inlineStr">
        <is>
          <t>Lui</t>
        </is>
      </c>
      <c r="D6" s="7" t="inlineStr">
        <is>
          <t>Elle</t>
        </is>
      </c>
      <c r="E6" s="7" t="inlineStr">
        <is>
          <t>Foyer</t>
        </is>
      </c>
      <c r="F6" s="7" t="inlineStr">
        <is>
          <t>Goal</t>
        </is>
      </c>
      <c r="G6" s="7" t="inlineStr">
        <is>
          <t>∆</t>
        </is>
      </c>
    </row>
    <row r="8">
      <c r="B8" s="8" t="inlineStr">
        <is>
          <t>Total Actif</t>
        </is>
      </c>
      <c r="C8" s="9">
        <f>C103</f>
        <v/>
      </c>
      <c r="D8" s="9">
        <f>D103</f>
        <v/>
      </c>
      <c r="E8" s="9">
        <f>E103</f>
        <v/>
      </c>
      <c r="F8" s="9">
        <f>F103</f>
        <v/>
      </c>
      <c r="G8" s="9">
        <f>G103</f>
        <v/>
      </c>
    </row>
    <row r="9">
      <c r="B9" s="8" t="inlineStr">
        <is>
          <t>Total Passif</t>
        </is>
      </c>
      <c r="C9" s="9">
        <f>C130</f>
        <v/>
      </c>
      <c r="D9" s="9">
        <f>D130</f>
        <v/>
      </c>
      <c r="E9" s="9">
        <f>E130</f>
        <v/>
      </c>
      <c r="F9" s="9">
        <f>F130</f>
        <v/>
      </c>
      <c r="G9" s="9">
        <f>G130</f>
        <v/>
      </c>
    </row>
    <row r="11">
      <c r="B11" s="5" t="inlineStr">
        <is>
          <t>TOTAL PATRIMOINE NET</t>
        </is>
      </c>
      <c r="C11" s="10">
        <f>C8-C9</f>
        <v/>
      </c>
      <c r="D11" s="10">
        <f>D8-D9</f>
        <v/>
      </c>
      <c r="E11" s="10">
        <f>E8-E9</f>
        <v/>
      </c>
      <c r="F11" s="10">
        <f>F8-F9</f>
        <v/>
      </c>
      <c r="G11" s="10">
        <f>E11-F11</f>
        <v/>
      </c>
    </row>
    <row r="14">
      <c r="B14" s="24" t="inlineStr">
        <is>
          <t>ACTIF</t>
        </is>
      </c>
      <c r="C14" s="25" t="inlineStr">
        <is>
          <t>Actuel</t>
        </is>
      </c>
      <c r="D14" s="25" t="n"/>
      <c r="E14" s="25" t="n"/>
      <c r="F14" s="25" t="inlineStr">
        <is>
          <t>Objectif</t>
        </is>
      </c>
      <c r="G14" s="25" t="inlineStr">
        <is>
          <t>Delta</t>
        </is>
      </c>
      <c r="H14" s="25" t="inlineStr">
        <is>
          <t>Pourcentage</t>
        </is>
      </c>
    </row>
    <row r="15">
      <c r="C15" s="7" t="inlineStr">
        <is>
          <t>Lui</t>
        </is>
      </c>
      <c r="D15" s="7" t="inlineStr">
        <is>
          <t>Elle</t>
        </is>
      </c>
      <c r="E15" s="7" t="inlineStr">
        <is>
          <t>Foyer</t>
        </is>
      </c>
      <c r="F15" s="7" t="inlineStr">
        <is>
          <t>Goal</t>
        </is>
      </c>
      <c r="G15" s="7" t="inlineStr">
        <is>
          <t>∆</t>
        </is>
      </c>
    </row>
    <row r="16">
      <c r="B16" s="13" t="inlineStr">
        <is>
          <t>LIQUIDITÉ</t>
        </is>
      </c>
    </row>
    <row r="17">
      <c r="B17" s="8" t="inlineStr">
        <is>
          <t>Compte courant</t>
        </is>
      </c>
      <c r="C17" t="n">
        <v>300000</v>
      </c>
      <c r="E17" s="9">
        <f>C17+D17</f>
        <v/>
      </c>
      <c r="F17" t="n">
        <v>550000</v>
      </c>
      <c r="G17" s="9">
        <f>E17-F17</f>
        <v/>
      </c>
    </row>
    <row r="18">
      <c r="B18" s="8" t="inlineStr">
        <is>
          <t>Livret A</t>
        </is>
      </c>
      <c r="E18" s="9">
        <f>C18+D18</f>
        <v/>
      </c>
      <c r="G18" s="9">
        <f>E18-F18</f>
        <v/>
      </c>
    </row>
    <row r="19">
      <c r="B19" s="8" t="inlineStr">
        <is>
          <t>LDDS</t>
        </is>
      </c>
      <c r="E19" s="9">
        <f>C19+D19</f>
        <v/>
      </c>
      <c r="G19" s="9">
        <f>E19-F19</f>
        <v/>
      </c>
    </row>
    <row r="20">
      <c r="B20" s="8" t="inlineStr">
        <is>
          <t>LEP</t>
        </is>
      </c>
      <c r="E20" s="9">
        <f>C20+D20</f>
        <v/>
      </c>
      <c r="G20" s="9">
        <f>E20-F20</f>
        <v/>
      </c>
    </row>
    <row r="21">
      <c r="B21" s="8" t="inlineStr">
        <is>
          <t>Livret Jeune</t>
        </is>
      </c>
      <c r="E21" s="9">
        <f>C21+D21</f>
        <v/>
      </c>
      <c r="G21" s="9">
        <f>E21-F21</f>
        <v/>
      </c>
    </row>
    <row r="22">
      <c r="B22" s="8" t="inlineStr">
        <is>
          <t>CEL</t>
        </is>
      </c>
      <c r="E22" s="9">
        <f>C22+D22</f>
        <v/>
      </c>
      <c r="G22" s="9">
        <f>E22-F22</f>
        <v/>
      </c>
    </row>
    <row r="23">
      <c r="B23" s="8" t="inlineStr">
        <is>
          <t>PEL</t>
        </is>
      </c>
      <c r="E23" s="9">
        <f>C23+D23</f>
        <v/>
      </c>
      <c r="G23" s="9">
        <f>E23-F23</f>
        <v/>
      </c>
    </row>
    <row r="24">
      <c r="B24" s="8" t="inlineStr">
        <is>
          <t>PERP</t>
        </is>
      </c>
      <c r="E24" s="9">
        <f>C24+D24</f>
        <v/>
      </c>
      <c r="G24" s="9">
        <f>E24-F24</f>
        <v/>
      </c>
    </row>
    <row r="25">
      <c r="B25" s="8" t="inlineStr">
        <is>
          <t>Compte à terme CAT</t>
        </is>
      </c>
      <c r="E25" s="9">
        <f>C25+D25</f>
        <v/>
      </c>
      <c r="G25" s="9">
        <f>E25-F25</f>
        <v/>
      </c>
    </row>
    <row r="26">
      <c r="B26" s="8" t="inlineStr">
        <is>
          <t>Compte Sur Livret CSL</t>
        </is>
      </c>
      <c r="E26" s="9">
        <f>C26+D26</f>
        <v/>
      </c>
      <c r="G26" s="9">
        <f>E26-F26</f>
        <v/>
      </c>
    </row>
    <row r="27">
      <c r="B27" s="8" t="inlineStr">
        <is>
          <t>Autre</t>
        </is>
      </c>
      <c r="E27" s="9">
        <f>C27+D27</f>
        <v/>
      </c>
      <c r="G27" s="9">
        <f>E27-F27</f>
        <v/>
      </c>
    </row>
    <row r="28">
      <c r="B28" s="14" t="inlineStr">
        <is>
          <t>TOTAL LIQUIDITÉ</t>
        </is>
      </c>
      <c r="C28" s="15">
        <f>SUM(C17:C27)</f>
        <v/>
      </c>
      <c r="D28" s="15">
        <f>SUM(D17:D27)</f>
        <v/>
      </c>
      <c r="E28" s="15">
        <f>C28+D28</f>
        <v/>
      </c>
      <c r="F28" s="15">
        <f>SUM(F17:F27)</f>
        <v/>
      </c>
      <c r="G28" s="15">
        <f>E28-F28</f>
        <v/>
      </c>
      <c r="H28" s="16">
        <f>PRODUCT(E28,1)/$E$103</f>
        <v/>
      </c>
    </row>
    <row r="30">
      <c r="B30" s="13" t="inlineStr">
        <is>
          <t>IMMOBILIER</t>
        </is>
      </c>
    </row>
    <row r="31">
      <c r="B31" s="8" t="inlineStr">
        <is>
          <t>Terrain</t>
        </is>
      </c>
      <c r="C31" t="n">
        <v>400000</v>
      </c>
      <c r="E31" s="9">
        <f>C31+D31</f>
        <v/>
      </c>
      <c r="G31" s="9">
        <f>E31-F31</f>
        <v/>
      </c>
    </row>
    <row r="32">
      <c r="B32" s="8" t="inlineStr">
        <is>
          <t>Appartement</t>
        </is>
      </c>
      <c r="E32" s="9">
        <f>C32+D32</f>
        <v/>
      </c>
      <c r="G32" s="9">
        <f>E32-F32</f>
        <v/>
      </c>
    </row>
    <row r="33">
      <c r="B33" s="8" t="inlineStr">
        <is>
          <t>Immeuble</t>
        </is>
      </c>
      <c r="E33" s="9">
        <f>C33+D33</f>
        <v/>
      </c>
      <c r="G33" s="9">
        <f>E33-F33</f>
        <v/>
      </c>
    </row>
    <row r="34">
      <c r="B34" s="8" t="inlineStr">
        <is>
          <t>Maison</t>
        </is>
      </c>
      <c r="E34" s="9">
        <f>C34+D34</f>
        <v/>
      </c>
      <c r="G34" s="9">
        <f>E34-F34</f>
        <v/>
      </c>
    </row>
    <row r="35">
      <c r="B35" s="8" t="inlineStr">
        <is>
          <t>Commerce</t>
        </is>
      </c>
      <c r="E35" s="9">
        <f>C35+D35</f>
        <v/>
      </c>
      <c r="G35" s="9">
        <f>E35-F35</f>
        <v/>
      </c>
    </row>
    <row r="36">
      <c r="B36" s="8" t="inlineStr">
        <is>
          <t>Bureau</t>
        </is>
      </c>
      <c r="E36" s="9">
        <f>C36+D36</f>
        <v/>
      </c>
      <c r="G36" s="9">
        <f>E36-F36</f>
        <v/>
      </c>
    </row>
    <row r="37">
      <c r="B37" s="8" t="inlineStr">
        <is>
          <t>Entrepôt</t>
        </is>
      </c>
      <c r="E37" s="9">
        <f>C37+D37</f>
        <v/>
      </c>
      <c r="G37" s="9">
        <f>E37-F37</f>
        <v/>
      </c>
    </row>
    <row r="38">
      <c r="B38" s="8" t="inlineStr">
        <is>
          <t>Parking</t>
        </is>
      </c>
      <c r="E38" s="9">
        <f>C38+D38</f>
        <v/>
      </c>
      <c r="G38" s="9">
        <f>E38-F38</f>
        <v/>
      </c>
    </row>
    <row r="39">
      <c r="B39" s="8" t="inlineStr">
        <is>
          <t>Cave</t>
        </is>
      </c>
      <c r="E39" s="9">
        <f>C39+D39</f>
        <v/>
      </c>
      <c r="G39" s="9">
        <f>E39-F39</f>
        <v/>
      </c>
    </row>
    <row r="40">
      <c r="B40" s="8" t="inlineStr">
        <is>
          <t>Autre</t>
        </is>
      </c>
      <c r="E40" s="9">
        <f>C40+D40</f>
        <v/>
      </c>
      <c r="G40" s="9">
        <f>E40-F40</f>
        <v/>
      </c>
    </row>
    <row r="41">
      <c r="B41" s="14" t="inlineStr">
        <is>
          <t>TOTAL IMMOBILIER</t>
        </is>
      </c>
      <c r="C41" s="15">
        <f>SUM(C31:C40)</f>
        <v/>
      </c>
      <c r="D41" s="15">
        <f>SUM(D31:D40)</f>
        <v/>
      </c>
      <c r="E41" s="15">
        <f>C41+D41</f>
        <v/>
      </c>
      <c r="F41" s="15">
        <f>SUM(F31:F40)</f>
        <v/>
      </c>
      <c r="G41" s="15">
        <f>E41-F41</f>
        <v/>
      </c>
      <c r="H41" s="16">
        <f>PRODUCT(E41,1)/$E$103</f>
        <v/>
      </c>
    </row>
    <row r="43">
      <c r="B43" s="13" t="inlineStr">
        <is>
          <t>BOURSE</t>
        </is>
      </c>
    </row>
    <row r="44">
      <c r="B44" s="8" t="inlineStr">
        <is>
          <t>Action</t>
        </is>
      </c>
      <c r="C44" t="n">
        <v>250000</v>
      </c>
      <c r="E44" s="9">
        <f>C44+D44</f>
        <v/>
      </c>
      <c r="F44" t="n">
        <v>225000</v>
      </c>
      <c r="G44" s="9">
        <f>E44-F44</f>
        <v/>
      </c>
    </row>
    <row r="45">
      <c r="B45" s="8" t="inlineStr">
        <is>
          <t>Obligation</t>
        </is>
      </c>
      <c r="E45" s="9">
        <f>C45+D45</f>
        <v/>
      </c>
      <c r="G45" s="9">
        <f>E45-F45</f>
        <v/>
      </c>
    </row>
    <row r="46">
      <c r="B46" s="8" t="inlineStr">
        <is>
          <t>ETF</t>
        </is>
      </c>
      <c r="E46" s="9">
        <f>C46+D46</f>
        <v/>
      </c>
      <c r="G46" s="9">
        <f>E46-F46</f>
        <v/>
      </c>
    </row>
    <row r="47">
      <c r="B47" s="8" t="inlineStr">
        <is>
          <t>SICAV</t>
        </is>
      </c>
      <c r="E47" s="9">
        <f>C47+D47</f>
        <v/>
      </c>
      <c r="G47" s="9">
        <f>E47-F47</f>
        <v/>
      </c>
    </row>
    <row r="48">
      <c r="B48" s="8" t="inlineStr">
        <is>
          <t>FCP</t>
        </is>
      </c>
      <c r="E48" s="9">
        <f>C48+D48</f>
        <v/>
      </c>
      <c r="G48" s="9">
        <f>E48-F48</f>
        <v/>
      </c>
    </row>
    <row r="49">
      <c r="B49" s="8" t="inlineStr">
        <is>
          <t>Warrant</t>
        </is>
      </c>
      <c r="E49" s="9">
        <f>C49+D49</f>
        <v/>
      </c>
      <c r="G49" s="9">
        <f>E49-F49</f>
        <v/>
      </c>
    </row>
    <row r="50">
      <c r="B50" s="8" t="inlineStr">
        <is>
          <t>Option</t>
        </is>
      </c>
      <c r="E50" s="9">
        <f>C50+D50</f>
        <v/>
      </c>
      <c r="G50" s="9">
        <f>E50-F50</f>
        <v/>
      </c>
    </row>
    <row r="51">
      <c r="B51" s="8" t="inlineStr">
        <is>
          <t>Stock-option</t>
        </is>
      </c>
      <c r="E51" s="9">
        <f>C51+D51</f>
        <v/>
      </c>
      <c r="G51" s="9">
        <f>E51-F51</f>
        <v/>
      </c>
    </row>
    <row r="52">
      <c r="B52" s="8" t="inlineStr">
        <is>
          <t>CFD</t>
        </is>
      </c>
      <c r="E52" s="9">
        <f>C52+D52</f>
        <v/>
      </c>
      <c r="G52" s="9">
        <f>E52-F52</f>
        <v/>
      </c>
    </row>
    <row r="53">
      <c r="B53" s="8" t="inlineStr">
        <is>
          <t>Future</t>
        </is>
      </c>
      <c r="E53" s="9">
        <f>C53+D53</f>
        <v/>
      </c>
      <c r="G53" s="9">
        <f>E53-F53</f>
        <v/>
      </c>
    </row>
    <row r="54">
      <c r="B54" s="8" t="inlineStr">
        <is>
          <t>Autre</t>
        </is>
      </c>
      <c r="E54" s="9">
        <f>C54+D54</f>
        <v/>
      </c>
      <c r="G54" s="9">
        <f>E54-F54</f>
        <v/>
      </c>
    </row>
    <row r="55">
      <c r="B55" s="14" t="inlineStr">
        <is>
          <t>TOTAL BOURSE</t>
        </is>
      </c>
      <c r="C55" s="15">
        <f>SUM(C44:C54)</f>
        <v/>
      </c>
      <c r="D55" s="15">
        <f>SUM(D44:D54)</f>
        <v/>
      </c>
      <c r="E55" s="15">
        <f>C55+D55</f>
        <v/>
      </c>
      <c r="F55" s="15">
        <f>SUM(F44:F54)</f>
        <v/>
      </c>
      <c r="G55" s="15">
        <f>E55-F55</f>
        <v/>
      </c>
      <c r="H55" s="16">
        <f>PRODUCT(E55,1)/$E$103</f>
        <v/>
      </c>
    </row>
    <row r="57">
      <c r="B57" s="13" t="inlineStr">
        <is>
          <t>CRYPTOMONNAIE</t>
        </is>
      </c>
    </row>
    <row r="58">
      <c r="B58" s="8" t="inlineStr">
        <is>
          <t>Majeure</t>
        </is>
      </c>
      <c r="C58" t="n">
        <v>180000</v>
      </c>
      <c r="E58" s="9">
        <f>C58+D58</f>
        <v/>
      </c>
      <c r="F58" t="n">
        <v>150000</v>
      </c>
      <c r="G58" s="9">
        <f>E58-F58</f>
        <v/>
      </c>
    </row>
    <row r="59">
      <c r="B59" s="8" t="inlineStr">
        <is>
          <t>Alternative coin</t>
        </is>
      </c>
      <c r="E59" s="9">
        <f>C59+D59</f>
        <v/>
      </c>
      <c r="G59" s="9">
        <f>E59-F59</f>
        <v/>
      </c>
    </row>
    <row r="60">
      <c r="B60" s="8" t="inlineStr">
        <is>
          <t>NFT coin</t>
        </is>
      </c>
      <c r="E60" s="9">
        <f>C60+D60</f>
        <v/>
      </c>
      <c r="G60" s="9">
        <f>E60-F60</f>
        <v/>
      </c>
    </row>
    <row r="61">
      <c r="B61" s="8" t="inlineStr">
        <is>
          <t>DEFI coin</t>
        </is>
      </c>
      <c r="E61" s="9">
        <f>C61+D61</f>
        <v/>
      </c>
      <c r="G61" s="9">
        <f>E61-F61</f>
        <v/>
      </c>
    </row>
    <row r="62">
      <c r="B62" s="8" t="inlineStr">
        <is>
          <t>METAVERSE coin</t>
        </is>
      </c>
      <c r="E62" s="9">
        <f>C62+D62</f>
        <v/>
      </c>
      <c r="G62" s="9">
        <f>E62-F62</f>
        <v/>
      </c>
    </row>
    <row r="63">
      <c r="B63" s="8" t="inlineStr">
        <is>
          <t>Stable coin</t>
        </is>
      </c>
      <c r="E63" s="9">
        <f>C63+D63</f>
        <v/>
      </c>
      <c r="G63" s="9">
        <f>E63-F63</f>
        <v/>
      </c>
    </row>
    <row r="64">
      <c r="B64" s="8" t="inlineStr">
        <is>
          <t>Fiat</t>
        </is>
      </c>
      <c r="E64" s="9">
        <f>C64+D64</f>
        <v/>
      </c>
      <c r="G64" s="9">
        <f>E64-F64</f>
        <v/>
      </c>
    </row>
    <row r="65">
      <c r="B65" s="8" t="inlineStr">
        <is>
          <t>Autre</t>
        </is>
      </c>
      <c r="E65" s="9">
        <f>C65+D65</f>
        <v/>
      </c>
      <c r="G65" s="9">
        <f>E65-F65</f>
        <v/>
      </c>
    </row>
    <row r="66">
      <c r="B66" s="14" t="inlineStr">
        <is>
          <t>TOTAL CRYPTOMONNAIE</t>
        </is>
      </c>
      <c r="C66" s="15">
        <f>SUM(C58:C65)</f>
        <v/>
      </c>
      <c r="D66" s="15">
        <f>SUM(D58:D65)</f>
        <v/>
      </c>
      <c r="E66" s="15">
        <f>C66+D66</f>
        <v/>
      </c>
      <c r="F66" s="15">
        <f>SUM(F58:F65)</f>
        <v/>
      </c>
      <c r="G66" s="15">
        <f>E66-F66</f>
        <v/>
      </c>
      <c r="H66" s="16">
        <f>PRODUCT(E66,1)/$E$103</f>
        <v/>
      </c>
    </row>
    <row r="68">
      <c r="B68" s="13" t="inlineStr">
        <is>
          <t>PRIVATE EQUITY</t>
        </is>
      </c>
    </row>
    <row r="69">
      <c r="B69" s="8" t="inlineStr">
        <is>
          <t>Capital innovation</t>
        </is>
      </c>
      <c r="C69" t="n">
        <v>100000</v>
      </c>
      <c r="E69" s="9">
        <f>C69+D69</f>
        <v/>
      </c>
      <c r="F69" t="n">
        <v>100000</v>
      </c>
      <c r="G69" s="9">
        <f>E69-F69</f>
        <v/>
      </c>
    </row>
    <row r="70">
      <c r="B70" s="8" t="inlineStr">
        <is>
          <t>Capital développement</t>
        </is>
      </c>
      <c r="E70" s="9">
        <f>C70+D70</f>
        <v/>
      </c>
      <c r="G70" s="9">
        <f>E70-F70</f>
        <v/>
      </c>
    </row>
    <row r="71">
      <c r="B71" s="8" t="inlineStr">
        <is>
          <t>Capital retournement</t>
        </is>
      </c>
      <c r="E71" s="9">
        <f>C71+D71</f>
        <v/>
      </c>
      <c r="G71" s="9">
        <f>E71-F71</f>
        <v/>
      </c>
    </row>
    <row r="72">
      <c r="B72" s="8" t="inlineStr">
        <is>
          <t>Capital transmission</t>
        </is>
      </c>
      <c r="E72" s="9">
        <f>C72+D72</f>
        <v/>
      </c>
      <c r="G72" s="9">
        <f>E72-F72</f>
        <v/>
      </c>
    </row>
    <row r="73">
      <c r="B73" s="8" t="inlineStr">
        <is>
          <t>Autre</t>
        </is>
      </c>
      <c r="E73" s="9">
        <f>C73+D73</f>
        <v/>
      </c>
      <c r="G73" s="9">
        <f>E73-F73</f>
        <v/>
      </c>
    </row>
    <row r="74">
      <c r="B74" s="14" t="inlineStr">
        <is>
          <t>TOTAL PRIVATE EQUITY</t>
        </is>
      </c>
      <c r="C74" s="15">
        <f>SUM(C69:C73)</f>
        <v/>
      </c>
      <c r="D74" s="15">
        <f>SUM(D69:D73)</f>
        <v/>
      </c>
      <c r="E74" s="15">
        <f>C74+D74</f>
        <v/>
      </c>
      <c r="F74" s="15">
        <f>SUM(F69:F73)</f>
        <v/>
      </c>
      <c r="G74" s="15">
        <f>E74-F74</f>
        <v/>
      </c>
      <c r="H74" s="16">
        <f>PRODUCT(E74,1)/$E$103</f>
        <v/>
      </c>
    </row>
    <row r="76">
      <c r="B76" s="13" t="inlineStr">
        <is>
          <t>CROWDFUNDING</t>
        </is>
      </c>
    </row>
    <row r="77">
      <c r="B77" s="8" t="inlineStr">
        <is>
          <t>Immobilier</t>
        </is>
      </c>
      <c r="E77" s="9">
        <f>C77+D77</f>
        <v/>
      </c>
      <c r="F77" t="n">
        <v>5000</v>
      </c>
      <c r="G77" s="9">
        <f>E77-F77</f>
        <v/>
      </c>
    </row>
    <row r="78">
      <c r="B78" s="8" t="inlineStr">
        <is>
          <t>Entreprise</t>
        </is>
      </c>
      <c r="E78" s="9">
        <f>C78+D78</f>
        <v/>
      </c>
      <c r="G78" s="9">
        <f>E78-F78</f>
        <v/>
      </c>
    </row>
    <row r="79">
      <c r="B79" s="8" t="inlineStr">
        <is>
          <t>Particulier</t>
        </is>
      </c>
      <c r="E79" s="9">
        <f>C79+D79</f>
        <v/>
      </c>
      <c r="G79" s="9">
        <f>E79-F79</f>
        <v/>
      </c>
    </row>
    <row r="80">
      <c r="B80" s="8" t="inlineStr">
        <is>
          <t>Autre</t>
        </is>
      </c>
      <c r="E80" s="9">
        <f>C80+D80</f>
        <v/>
      </c>
      <c r="G80" s="9">
        <f>E80-F80</f>
        <v/>
      </c>
    </row>
    <row r="81">
      <c r="B81" s="14" t="inlineStr">
        <is>
          <t>TOTAL CROWDFUNDING</t>
        </is>
      </c>
      <c r="C81" s="15">
        <f>SUM(C77:C80)</f>
        <v/>
      </c>
      <c r="D81" s="15">
        <f>SUM(D77:D80)</f>
        <v/>
      </c>
      <c r="E81" s="15">
        <f>C81+D81</f>
        <v/>
      </c>
      <c r="F81" s="15">
        <f>SUM(F77:F80)</f>
        <v/>
      </c>
      <c r="G81" s="15">
        <f>E81-F81</f>
        <v/>
      </c>
      <c r="H81" s="16">
        <f>PRODUCT(E81,1)/$E$103</f>
        <v/>
      </c>
    </row>
    <row r="83">
      <c r="B83" s="13" t="inlineStr">
        <is>
          <t>MATIÈRES PREMIÈRES</t>
        </is>
      </c>
    </row>
    <row r="84">
      <c r="B84" s="8" t="inlineStr">
        <is>
          <t>Or</t>
        </is>
      </c>
      <c r="D84" t="n">
        <v>50000</v>
      </c>
      <c r="E84" s="9">
        <f>C84+D84</f>
        <v/>
      </c>
      <c r="F84" t="n">
        <v>100000</v>
      </c>
      <c r="G84" s="9">
        <f>E84-F84</f>
        <v/>
      </c>
    </row>
    <row r="85">
      <c r="B85" s="8" t="inlineStr">
        <is>
          <t>Argent</t>
        </is>
      </c>
      <c r="E85" s="9">
        <f>C85+D85</f>
        <v/>
      </c>
      <c r="G85" s="9">
        <f>E85-F85</f>
        <v/>
      </c>
    </row>
    <row r="86">
      <c r="B86" s="8" t="inlineStr">
        <is>
          <t>Monnaies</t>
        </is>
      </c>
      <c r="E86" s="9">
        <f>C86+D86</f>
        <v/>
      </c>
      <c r="G86" s="9">
        <f>E86-F86</f>
        <v/>
      </c>
    </row>
    <row r="87">
      <c r="B87" s="8" t="inlineStr">
        <is>
          <t>Vin / Whisky</t>
        </is>
      </c>
      <c r="E87" s="9">
        <f>C87+D87</f>
        <v/>
      </c>
      <c r="G87" s="9">
        <f>E87-F87</f>
        <v/>
      </c>
    </row>
    <row r="88">
      <c r="B88" s="8" t="inlineStr">
        <is>
          <t>Art</t>
        </is>
      </c>
      <c r="E88" s="9">
        <f>C88+D88</f>
        <v/>
      </c>
      <c r="G88" s="9">
        <f>E88-F88</f>
        <v/>
      </c>
    </row>
    <row r="89">
      <c r="B89" s="8" t="inlineStr">
        <is>
          <t>Bijoux / Montres</t>
        </is>
      </c>
      <c r="E89" s="9">
        <f>C89+D89</f>
        <v/>
      </c>
      <c r="G89" s="9">
        <f>E89-F89</f>
        <v/>
      </c>
    </row>
    <row r="90">
      <c r="B90" s="8" t="inlineStr">
        <is>
          <t>Véhicule</t>
        </is>
      </c>
      <c r="E90" s="9">
        <f>C90+D90</f>
        <v/>
      </c>
      <c r="G90" s="9">
        <f>E90-F90</f>
        <v/>
      </c>
    </row>
    <row r="91">
      <c r="B91" s="8" t="inlineStr">
        <is>
          <t>Autre</t>
        </is>
      </c>
      <c r="E91" s="9">
        <f>C91+D91</f>
        <v/>
      </c>
      <c r="G91" s="9">
        <f>E91-F91</f>
        <v/>
      </c>
    </row>
    <row r="92">
      <c r="B92" s="14" t="inlineStr">
        <is>
          <t>TOTAL MATIÈRES PREMIÈRES</t>
        </is>
      </c>
      <c r="C92" s="15">
        <f>SUM(C84:C91)</f>
        <v/>
      </c>
      <c r="D92" s="15">
        <f>SUM(D84:D91)</f>
        <v/>
      </c>
      <c r="E92" s="15">
        <f>C92+D92</f>
        <v/>
      </c>
      <c r="F92" s="15">
        <f>SUM(F84:F91)</f>
        <v/>
      </c>
      <c r="G92" s="15">
        <f>E92-F92</f>
        <v/>
      </c>
      <c r="H92" s="16">
        <f>PRODUCT(E92,1)/$E$103</f>
        <v/>
      </c>
    </row>
    <row r="94">
      <c r="B94" s="13" t="inlineStr">
        <is>
          <t>ENTREPRISE</t>
        </is>
      </c>
    </row>
    <row r="95">
      <c r="B95" s="8" t="inlineStr">
        <is>
          <t>SCI</t>
        </is>
      </c>
      <c r="E95" s="9">
        <f>C95+D95</f>
        <v/>
      </c>
      <c r="G95" s="9">
        <f>E95-F95</f>
        <v/>
      </c>
    </row>
    <row r="96">
      <c r="B96" s="8" t="inlineStr">
        <is>
          <t>SAS</t>
        </is>
      </c>
      <c r="E96" s="9">
        <f>C96+D96</f>
        <v/>
      </c>
      <c r="G96" s="9">
        <f>E96-F96</f>
        <v/>
      </c>
    </row>
    <row r="97">
      <c r="B97" s="8" t="inlineStr">
        <is>
          <t>SARL</t>
        </is>
      </c>
      <c r="E97" s="9">
        <f>C97+D97</f>
        <v/>
      </c>
      <c r="G97" s="9">
        <f>E97-F97</f>
        <v/>
      </c>
    </row>
    <row r="98">
      <c r="B98" s="8" t="inlineStr">
        <is>
          <t>Micro-entreprise</t>
        </is>
      </c>
      <c r="E98" s="9">
        <f>C98+D98</f>
        <v/>
      </c>
      <c r="G98" s="9">
        <f>E98-F98</f>
        <v/>
      </c>
    </row>
    <row r="99">
      <c r="B99" s="8" t="inlineStr">
        <is>
          <t>Autre</t>
        </is>
      </c>
      <c r="E99" s="9">
        <f>C99+D99</f>
        <v/>
      </c>
      <c r="G99" s="9">
        <f>E99-F99</f>
        <v/>
      </c>
    </row>
    <row r="100">
      <c r="B100" s="14" t="inlineStr">
        <is>
          <t>TOTAL ENTREPRISE</t>
        </is>
      </c>
      <c r="C100" s="15">
        <f>SUM(C95:C99)</f>
        <v/>
      </c>
      <c r="D100" s="15">
        <f>SUM(D95:D99)</f>
        <v/>
      </c>
      <c r="E100" s="15">
        <f>C100+D100</f>
        <v/>
      </c>
      <c r="F100" s="15">
        <f>SUM(F95:F99)</f>
        <v/>
      </c>
      <c r="G100" s="15">
        <f>E100-F100</f>
        <v/>
      </c>
      <c r="H100" s="16">
        <f>PRODUCT(E100,1)/$E$103</f>
        <v/>
      </c>
    </row>
    <row r="103">
      <c r="B103" s="24" t="inlineStr">
        <is>
          <t>TOTAL ACTIF</t>
        </is>
      </c>
      <c r="C103" s="26">
        <f>C28+C41+C55+C66+C74+C81+C92+C100</f>
        <v/>
      </c>
      <c r="D103" s="26">
        <f>D28+D41+D55+D66+D74+D81+D92+D100</f>
        <v/>
      </c>
      <c r="E103" s="26">
        <f>E28+E41+E55+E66+E74+E81+E92+E100</f>
        <v/>
      </c>
      <c r="F103" s="26">
        <f>F28+F41+F55+F66+F74+F81+F92+F100</f>
        <v/>
      </c>
      <c r="G103" s="26">
        <f>E103-F103</f>
        <v/>
      </c>
    </row>
    <row r="106">
      <c r="B106" s="21" t="inlineStr">
        <is>
          <t>PASSIF</t>
        </is>
      </c>
      <c r="C106" s="22" t="inlineStr">
        <is>
          <t>Actuel</t>
        </is>
      </c>
      <c r="D106" s="22" t="n"/>
      <c r="E106" s="22" t="n"/>
      <c r="F106" s="22" t="inlineStr">
        <is>
          <t>Objectif</t>
        </is>
      </c>
      <c r="G106" s="22" t="inlineStr">
        <is>
          <t>Delta</t>
        </is>
      </c>
      <c r="H106" s="22" t="inlineStr">
        <is>
          <t>Pourcentage</t>
        </is>
      </c>
    </row>
    <row r="107">
      <c r="C107" s="7" t="inlineStr">
        <is>
          <t>Lui</t>
        </is>
      </c>
      <c r="D107" s="7" t="inlineStr">
        <is>
          <t>Elle</t>
        </is>
      </c>
      <c r="E107" s="7" t="inlineStr">
        <is>
          <t>Foyer</t>
        </is>
      </c>
      <c r="F107" s="7" t="inlineStr">
        <is>
          <t>Goal</t>
        </is>
      </c>
      <c r="G107" s="7" t="inlineStr">
        <is>
          <t>∆</t>
        </is>
      </c>
    </row>
    <row r="108">
      <c r="B108" s="13" t="inlineStr">
        <is>
          <t>DETTES</t>
        </is>
      </c>
    </row>
    <row r="109">
      <c r="B109" s="8" t="inlineStr">
        <is>
          <t>Résidence principale : Capital restant dû</t>
        </is>
      </c>
      <c r="C109" t="n">
        <v>100</v>
      </c>
      <c r="E109" s="9">
        <f>C109+D109</f>
        <v/>
      </c>
      <c r="G109" s="9">
        <f>E109-F109</f>
        <v/>
      </c>
    </row>
    <row r="110">
      <c r="B110" s="8" t="inlineStr">
        <is>
          <t>Investissements immo : Capital restant dû</t>
        </is>
      </c>
      <c r="D110" t="n">
        <v>350000</v>
      </c>
      <c r="E110" s="9">
        <f>C110+D110</f>
        <v/>
      </c>
      <c r="G110" s="9">
        <f>E110-F110</f>
        <v/>
      </c>
    </row>
    <row r="111">
      <c r="B111" s="8" t="inlineStr">
        <is>
          <t>Crédit auto</t>
        </is>
      </c>
      <c r="E111" s="9">
        <f>C111+D111</f>
        <v/>
      </c>
      <c r="G111" s="9">
        <f>E111-F111</f>
        <v/>
      </c>
    </row>
    <row r="112">
      <c r="B112" s="8" t="inlineStr">
        <is>
          <t>Crédit consommation</t>
        </is>
      </c>
      <c r="E112" s="9">
        <f>C112+D112</f>
        <v/>
      </c>
      <c r="G112" s="9">
        <f>E112-F112</f>
        <v/>
      </c>
    </row>
    <row r="113">
      <c r="B113" s="8" t="inlineStr">
        <is>
          <t>Prêt familial</t>
        </is>
      </c>
      <c r="E113" s="9">
        <f>C113+D113</f>
        <v/>
      </c>
      <c r="G113" s="9">
        <f>E113-F113</f>
        <v/>
      </c>
    </row>
    <row r="114">
      <c r="B114" s="8" t="inlineStr">
        <is>
          <t>Découvert</t>
        </is>
      </c>
      <c r="E114" s="9">
        <f>C114+D114</f>
        <v/>
      </c>
      <c r="G114" s="9">
        <f>E114-F114</f>
        <v/>
      </c>
    </row>
    <row r="115">
      <c r="B115" s="8" t="inlineStr">
        <is>
          <t>Autre dette</t>
        </is>
      </c>
      <c r="E115" s="9">
        <f>C115+D115</f>
        <v/>
      </c>
      <c r="G115" s="9">
        <f>E115-F115</f>
        <v/>
      </c>
    </row>
    <row r="116">
      <c r="B116" s="14" t="inlineStr">
        <is>
          <t>TOTAL DETTES IMMOBILIÈRES</t>
        </is>
      </c>
      <c r="C116" s="15">
        <f>SUM(C109:C110)</f>
        <v/>
      </c>
      <c r="D116" s="15">
        <f>SUM(D109:D110)</f>
        <v/>
      </c>
      <c r="E116" s="15">
        <f>C116+D116</f>
        <v/>
      </c>
      <c r="F116" s="15">
        <f>SUM(F109:F110)</f>
        <v/>
      </c>
      <c r="G116" s="15">
        <f>E116-F116</f>
        <v/>
      </c>
      <c r="H116" s="27" t="n"/>
    </row>
    <row r="117">
      <c r="B117" s="14" t="inlineStr">
        <is>
          <t>TOTAL AUTRES DETTES</t>
        </is>
      </c>
      <c r="C117" s="15">
        <f>SUM(C111:C115)</f>
        <v/>
      </c>
      <c r="D117" s="15">
        <f>SUM(D111:D115)</f>
        <v/>
      </c>
      <c r="E117" s="15">
        <f>C117+D117</f>
        <v/>
      </c>
      <c r="F117" s="15">
        <f>SUM(F111:F115)</f>
        <v/>
      </c>
      <c r="G117" s="15">
        <f>E117-F117</f>
        <v/>
      </c>
      <c r="H117" s="27" t="n"/>
    </row>
    <row r="119">
      <c r="B119" s="13" t="inlineStr">
        <is>
          <t>IMPÔTS DIFFÉRÉS</t>
        </is>
      </c>
    </row>
    <row r="120">
      <c r="B120" s="8" t="inlineStr">
        <is>
          <t>Plus-values latentes immo</t>
        </is>
      </c>
      <c r="E120" s="9">
        <f>C120+D120</f>
        <v/>
      </c>
      <c r="G120" s="9">
        <f>E120-F120</f>
        <v/>
      </c>
    </row>
    <row r="121">
      <c r="B121" s="8" t="inlineStr">
        <is>
          <t>Plus-values latentes bourse</t>
        </is>
      </c>
      <c r="E121" s="9">
        <f>C121+D121</f>
        <v/>
      </c>
      <c r="G121" s="9">
        <f>E121-F121</f>
        <v/>
      </c>
    </row>
    <row r="122">
      <c r="B122" s="8" t="inlineStr">
        <is>
          <t>Autres</t>
        </is>
      </c>
      <c r="E122" s="9">
        <f>C122+D122</f>
        <v/>
      </c>
      <c r="G122" s="9">
        <f>E122-F122</f>
        <v/>
      </c>
    </row>
    <row r="123">
      <c r="B123" s="14" t="inlineStr">
        <is>
          <t>TOTAL IMPÔTS DIFFÉRÉS</t>
        </is>
      </c>
      <c r="C123" s="15">
        <f>SUM(C120:C122)</f>
        <v/>
      </c>
      <c r="D123" s="15">
        <f>SUM(D120:D122)</f>
        <v/>
      </c>
      <c r="E123" s="15">
        <f>C123+D123</f>
        <v/>
      </c>
      <c r="F123" s="15">
        <f>SUM(F120:F122)</f>
        <v/>
      </c>
      <c r="G123" s="15">
        <f>E123-F123</f>
        <v/>
      </c>
      <c r="H123" s="27" t="n"/>
    </row>
    <row r="125">
      <c r="B125" s="13" t="inlineStr">
        <is>
          <t>ENGAGEMENTS</t>
        </is>
      </c>
    </row>
    <row r="126">
      <c r="B126" s="8" t="inlineStr">
        <is>
          <t>Caution donnée</t>
        </is>
      </c>
      <c r="E126" s="9">
        <f>C126+D126</f>
        <v/>
      </c>
      <c r="G126" s="9">
        <f>E126-F126</f>
        <v/>
      </c>
    </row>
    <row r="127">
      <c r="B127" s="8" t="inlineStr">
        <is>
          <t>Nantissement</t>
        </is>
      </c>
      <c r="E127" s="9">
        <f>C127+D127</f>
        <v/>
      </c>
      <c r="G127" s="9">
        <f>E127-F127</f>
        <v/>
      </c>
    </row>
    <row r="128">
      <c r="B128" s="8" t="inlineStr">
        <is>
          <t>Autre</t>
        </is>
      </c>
      <c r="E128" s="9">
        <f>C128+D128</f>
        <v/>
      </c>
      <c r="G128" s="9">
        <f>E128-F128</f>
        <v/>
      </c>
    </row>
    <row r="130">
      <c r="B130" s="21" t="inlineStr">
        <is>
          <t>TOTAL PASSIF</t>
        </is>
      </c>
      <c r="C130" s="23">
        <f>C116+C117+C123+SUM(C126:C128)</f>
        <v/>
      </c>
      <c r="D130" s="23">
        <f>D116+D117+D123+SUM(D126:D128)</f>
        <v/>
      </c>
      <c r="E130" s="23">
        <f>E116+E117+E123+SUM(E126:E128)</f>
        <v/>
      </c>
      <c r="F130" s="23">
        <f>F116+F117+F123+SUM(F126:F128)</f>
        <v/>
      </c>
      <c r="G130" s="23">
        <f>E130-F130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7E68"/>
    <outlinePr summaryBelow="1" summaryRight="1"/>
    <pageSetUpPr/>
  </sheetPr>
  <dimension ref="B2:P46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14" customWidth="1" min="3" max="3"/>
    <col width="16" customWidth="1" min="4" max="4"/>
    <col width="16" customWidth="1" min="5" max="5"/>
    <col width="16" customWidth="1" min="6" max="6"/>
    <col width="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" customWidth="1" min="15" max="15"/>
    <col width="16" customWidth="1" min="16" max="16"/>
  </cols>
  <sheetData>
    <row r="2">
      <c r="C2" s="4" t="inlineStr">
        <is>
          <t>Croissance</t>
        </is>
      </c>
    </row>
    <row r="5">
      <c r="B5" s="28" t="inlineStr">
        <is>
          <t>ÉVOLUTION AU COURS DES ANNÉES</t>
        </is>
      </c>
      <c r="C5" s="29" t="inlineStr">
        <is>
          <t>ÉVOLUTION AU COURS DES ANNÉES</t>
        </is>
      </c>
      <c r="D5" s="29" t="n"/>
      <c r="E5" s="29" t="n"/>
      <c r="F5" s="29" t="n"/>
      <c r="G5" s="29" t="n"/>
      <c r="H5" s="29" t="n"/>
      <c r="I5" s="30" t="n"/>
      <c r="J5" s="30" t="n"/>
      <c r="K5" s="30" t="n"/>
      <c r="L5" s="30" t="n"/>
      <c r="M5" s="30" t="n"/>
      <c r="N5" s="30" t="n"/>
      <c r="O5" s="30" t="n"/>
      <c r="P5" s="30" t="n"/>
    </row>
    <row r="7">
      <c r="C7" s="7" t="inlineStr">
        <is>
          <t>Année</t>
        </is>
      </c>
      <c r="D7" s="7" t="inlineStr">
        <is>
          <t>Revenus actifs</t>
        </is>
      </c>
      <c r="E7" s="7" t="inlineStr">
        <is>
          <t>Revenus passifs</t>
        </is>
      </c>
      <c r="F7" s="7" t="inlineStr">
        <is>
          <t>Total des revenus</t>
        </is>
      </c>
      <c r="H7" s="7" t="inlineStr">
        <is>
          <t>Liquidité</t>
        </is>
      </c>
      <c r="I7" s="7" t="inlineStr">
        <is>
          <t>Immobilier</t>
        </is>
      </c>
      <c r="J7" s="7" t="inlineStr">
        <is>
          <t>Bourse</t>
        </is>
      </c>
      <c r="K7" s="7" t="inlineStr">
        <is>
          <t>Cryptomonnaie</t>
        </is>
      </c>
      <c r="L7" s="7" t="inlineStr">
        <is>
          <t>Private Equity</t>
        </is>
      </c>
      <c r="M7" s="7" t="inlineStr">
        <is>
          <t>Autre</t>
        </is>
      </c>
      <c r="N7" s="7" t="inlineStr">
        <is>
          <t>Patrimoine brut</t>
        </is>
      </c>
      <c r="P7" s="7" t="inlineStr">
        <is>
          <t>Patrimoine net</t>
        </is>
      </c>
    </row>
    <row r="8">
      <c r="C8" s="31" t="inlineStr">
        <is>
          <t>A-4</t>
        </is>
      </c>
      <c r="D8" s="32" t="n">
        <v>1500</v>
      </c>
      <c r="E8" s="32" t="n">
        <v>5000</v>
      </c>
      <c r="F8" s="32">
        <f>E8+D8</f>
        <v/>
      </c>
      <c r="H8" s="32" t="n">
        <v>50000</v>
      </c>
      <c r="I8" s="32" t="n"/>
      <c r="J8" s="32" t="n"/>
      <c r="K8" s="32" t="n"/>
      <c r="L8" s="32" t="n"/>
      <c r="M8" s="32" t="n"/>
      <c r="N8" s="32">
        <f>SUM(H8:M8)</f>
        <v/>
      </c>
      <c r="P8" s="32" t="n"/>
    </row>
    <row r="9">
      <c r="C9" s="31" t="inlineStr">
        <is>
          <t>A-3</t>
        </is>
      </c>
      <c r="D9" s="32" t="n">
        <v>3000</v>
      </c>
      <c r="E9" s="32" t="n">
        <v>10000</v>
      </c>
      <c r="F9" s="32">
        <f>E9+D9</f>
        <v/>
      </c>
      <c r="H9" s="32" t="n">
        <v>100000</v>
      </c>
      <c r="I9" s="32" t="n"/>
      <c r="J9" s="32" t="n"/>
      <c r="K9" s="32" t="n"/>
      <c r="L9" s="32" t="n"/>
      <c r="M9" s="32" t="n"/>
      <c r="N9" s="32">
        <f>SUM(H9:M9)</f>
        <v/>
      </c>
      <c r="P9" s="32" t="n"/>
    </row>
    <row r="10">
      <c r="C10" s="31" t="inlineStr">
        <is>
          <t>A-2</t>
        </is>
      </c>
      <c r="D10" s="32" t="n">
        <v>11000</v>
      </c>
      <c r="E10" s="32" t="n">
        <v>15000</v>
      </c>
      <c r="F10" s="32">
        <f>E10+D10</f>
        <v/>
      </c>
      <c r="H10" s="32" t="n">
        <v>200000</v>
      </c>
      <c r="I10" s="32" t="n"/>
      <c r="J10" s="32" t="n"/>
      <c r="K10" s="32" t="n"/>
      <c r="L10" s="32" t="n"/>
      <c r="M10" s="32" t="n"/>
      <c r="N10" s="32">
        <f>SUM(H10:M10)</f>
        <v/>
      </c>
      <c r="P10" s="32" t="n"/>
    </row>
    <row r="11">
      <c r="C11" s="31" t="inlineStr">
        <is>
          <t>A-1</t>
        </is>
      </c>
      <c r="D11" s="32" t="n">
        <v>25000</v>
      </c>
      <c r="E11" s="32" t="n">
        <v>25000</v>
      </c>
      <c r="F11" s="32">
        <f>E11+D11</f>
        <v/>
      </c>
      <c r="H11" s="32" t="n">
        <v>250000</v>
      </c>
      <c r="I11" s="32" t="n"/>
      <c r="J11" s="32" t="n"/>
      <c r="K11" s="32" t="n"/>
      <c r="L11" s="32" t="n"/>
      <c r="M11" s="32" t="n"/>
      <c r="N11" s="32">
        <f>SUM(H11:M11)</f>
        <v/>
      </c>
      <c r="P11" s="32" t="n"/>
    </row>
    <row r="12">
      <c r="C12" s="31" t="inlineStr">
        <is>
          <t>En cours</t>
        </is>
      </c>
      <c r="D12" s="32">
        <f>PRODUCT('Compte de résultats'!E25,12)</f>
        <v/>
      </c>
      <c r="E12" s="32">
        <f>PRODUCT('Compte de résultats'!E35,12)</f>
        <v/>
      </c>
      <c r="F12" s="32">
        <f>E12+D12</f>
        <v/>
      </c>
      <c r="H12" s="32">
        <f>Bilan!E28</f>
        <v/>
      </c>
      <c r="I12" s="32">
        <f>Bilan!E41</f>
        <v/>
      </c>
      <c r="J12" s="32">
        <f>Bilan!E55</f>
        <v/>
      </c>
      <c r="K12" s="32">
        <f>Bilan!E66</f>
        <v/>
      </c>
      <c r="L12" s="32">
        <f>Bilan!E74</f>
        <v/>
      </c>
      <c r="M12" s="32">
        <f>Bilan!E81+Bilan!E92+Bilan!E100</f>
        <v/>
      </c>
      <c r="N12" s="32">
        <f>SUM(H12:M12)</f>
        <v/>
      </c>
      <c r="P12" s="32">
        <f>Bilan!E11</f>
        <v/>
      </c>
    </row>
    <row r="17">
      <c r="C17" s="33" t="inlineStr">
        <is>
          <t>CROISSANCE DES REVENUS</t>
        </is>
      </c>
      <c r="J17" s="33" t="inlineStr">
        <is>
          <t>CROISSANCE DU PATRIMOINE BRUT</t>
        </is>
      </c>
    </row>
    <row r="46">
      <c r="C46" s="33" t="inlineStr">
        <is>
          <t>CROISSANCE DU PATRIMOINE NET</t>
        </is>
      </c>
    </row>
  </sheetData>
  <mergeCells count="3">
    <mergeCell ref="J17:P17"/>
    <mergeCell ref="C46:P46"/>
    <mergeCell ref="C17:H1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37E68"/>
    <outlinePr summaryBelow="1" summaryRight="1"/>
    <pageSetUpPr/>
  </sheetPr>
  <dimension ref="B2:C38"/>
  <sheetViews>
    <sheetView workbookViewId="0">
      <selection activeCell="A1" sqref="A1"/>
    </sheetView>
  </sheetViews>
  <sheetFormatPr baseColWidth="8" defaultRowHeight="15"/>
  <cols>
    <col width="2" customWidth="1" min="1" max="1"/>
    <col width="65" customWidth="1" min="2" max="2"/>
    <col width="15" customWidth="1" min="3" max="3"/>
    <col width="5" customWidth="1" min="4" max="4"/>
  </cols>
  <sheetData>
    <row r="2">
      <c r="B2" s="4" t="inlineStr">
        <is>
          <t>Objectifs</t>
        </is>
      </c>
    </row>
    <row r="5">
      <c r="B5" s="34" t="inlineStr">
        <is>
          <t>ACTIONS</t>
        </is>
      </c>
      <c r="C5" s="7" t="inlineStr">
        <is>
          <t>STATUS</t>
        </is>
      </c>
    </row>
    <row r="6">
      <c r="B6" s="35" t="inlineStr">
        <is>
          <t>Générer un SMIC mensuel de revenus passifs</t>
        </is>
      </c>
      <c r="C6" s="36" t="inlineStr">
        <is>
          <t>À faire</t>
        </is>
      </c>
    </row>
    <row r="7">
      <c r="B7" s="37" t="inlineStr">
        <is>
          <t>Générer 2 500 € mensuel de revenus passifs</t>
        </is>
      </c>
      <c r="C7" s="38" t="inlineStr">
        <is>
          <t>À faire</t>
        </is>
      </c>
    </row>
    <row r="8">
      <c r="B8" s="35" t="inlineStr">
        <is>
          <t>Générer 5 000 € mensuel de revenus passifs</t>
        </is>
      </c>
      <c r="C8" s="36" t="inlineStr">
        <is>
          <t>En cours</t>
        </is>
      </c>
    </row>
    <row r="9">
      <c r="B9" s="37" t="inlineStr">
        <is>
          <t>Générer 10 000 € mensuel de revenus passifs</t>
        </is>
      </c>
      <c r="C9" s="38" t="inlineStr">
        <is>
          <t>À faire</t>
        </is>
      </c>
    </row>
    <row r="10">
      <c r="B10" s="35" t="inlineStr">
        <is>
          <t>Générer un SMIC mensuel de cash-flow net avec l'immobilier</t>
        </is>
      </c>
      <c r="C10" s="36" t="inlineStr">
        <is>
          <t>Fait</t>
        </is>
      </c>
    </row>
    <row r="11">
      <c r="B11" s="37" t="inlineStr">
        <is>
          <t>Générer 2 500 € mensuel de cash-flow net avec l'immobilier</t>
        </is>
      </c>
      <c r="C11" s="38" t="inlineStr">
        <is>
          <t>À faire</t>
        </is>
      </c>
    </row>
    <row r="12">
      <c r="B12" s="35" t="inlineStr">
        <is>
          <t>Générer 5 000 € mensuel de cash-flow net avec l'immobilier</t>
        </is>
      </c>
      <c r="C12" s="36" t="inlineStr">
        <is>
          <t>À faire</t>
        </is>
      </c>
    </row>
    <row r="13">
      <c r="B13" s="37" t="inlineStr">
        <is>
          <t>Générer 100 € mensuel de dividendes</t>
        </is>
      </c>
      <c r="C13" s="38" t="inlineStr">
        <is>
          <t>Fait</t>
        </is>
      </c>
    </row>
    <row r="14">
      <c r="B14" s="35" t="inlineStr">
        <is>
          <t>Générer 500 € mensuel de dividendes</t>
        </is>
      </c>
      <c r="C14" s="36" t="inlineStr">
        <is>
          <t>À faire</t>
        </is>
      </c>
    </row>
    <row r="15">
      <c r="B15" s="37" t="inlineStr">
        <is>
          <t>Générer 2 000 € mensuel de dividendes</t>
        </is>
      </c>
      <c r="C15" s="38" t="inlineStr">
        <is>
          <t>À faire</t>
        </is>
      </c>
    </row>
    <row r="16">
      <c r="B16" s="35" t="inlineStr">
        <is>
          <t>Générer 100 € mensuel avec le trading</t>
        </is>
      </c>
      <c r="C16" s="36" t="inlineStr">
        <is>
          <t>À faire</t>
        </is>
      </c>
    </row>
    <row r="17">
      <c r="B17" s="37" t="inlineStr">
        <is>
          <t>Générer 500 € mensuel avec le trading</t>
        </is>
      </c>
      <c r="C17" s="38" t="inlineStr">
        <is>
          <t>En cours</t>
        </is>
      </c>
    </row>
    <row r="18">
      <c r="B18" s="35" t="inlineStr">
        <is>
          <t>Générer 2 000 € mensuel avec le trading</t>
        </is>
      </c>
      <c r="C18" s="36" t="inlineStr">
        <is>
          <t>À faire</t>
        </is>
      </c>
    </row>
    <row r="19">
      <c r="B19" s="37" t="inlineStr">
        <is>
          <t>Avoir 2 sources de revenus</t>
        </is>
      </c>
      <c r="C19" s="38" t="inlineStr">
        <is>
          <t>À faire</t>
        </is>
      </c>
    </row>
    <row r="20">
      <c r="B20" s="35" t="inlineStr">
        <is>
          <t>Avoir 5 sources de revenus</t>
        </is>
      </c>
      <c r="C20" s="36" t="inlineStr">
        <is>
          <t>En cours</t>
        </is>
      </c>
    </row>
    <row r="21">
      <c r="B21" s="37" t="inlineStr">
        <is>
          <t>Avoir 10 sources de revenus</t>
        </is>
      </c>
      <c r="C21" s="38" t="inlineStr">
        <is>
          <t>À faire</t>
        </is>
      </c>
    </row>
    <row r="22">
      <c r="B22" s="35" t="inlineStr">
        <is>
          <t>Épargner 20% de mes revenus</t>
        </is>
      </c>
      <c r="C22" s="36" t="inlineStr">
        <is>
          <t>En cours</t>
        </is>
      </c>
    </row>
    <row r="23">
      <c r="B23" s="37" t="inlineStr">
        <is>
          <t>Épargner 40% de mes revenus</t>
        </is>
      </c>
      <c r="C23" s="38" t="inlineStr">
        <is>
          <t>À faire</t>
        </is>
      </c>
    </row>
    <row r="24">
      <c r="B24" s="35" t="inlineStr">
        <is>
          <t>Épargner 80% de mes revenus</t>
        </is>
      </c>
      <c r="C24" s="36" t="inlineStr">
        <is>
          <t>À faire</t>
        </is>
      </c>
    </row>
    <row r="25">
      <c r="B25" s="37" t="inlineStr">
        <is>
          <t>Acheter un bien immobilier</t>
        </is>
      </c>
      <c r="C25" s="38" t="inlineStr">
        <is>
          <t>À faire</t>
        </is>
      </c>
    </row>
    <row r="26">
      <c r="B26" s="35" t="inlineStr">
        <is>
          <t>Acheter un immeuble de rapport</t>
        </is>
      </c>
      <c r="C26" s="36" t="inlineStr">
        <is>
          <t>À faire</t>
        </is>
      </c>
    </row>
    <row r="27">
      <c r="B27" s="37" t="inlineStr">
        <is>
          <t>Faire un achat-revente</t>
        </is>
      </c>
      <c r="C27" s="38" t="inlineStr">
        <is>
          <t>À faire</t>
        </is>
      </c>
    </row>
    <row r="28">
      <c r="B28" s="35" t="inlineStr">
        <is>
          <t>Créer un portefeuille en bourse - long-terme</t>
        </is>
      </c>
      <c r="C28" s="36" t="inlineStr">
        <is>
          <t>Fait</t>
        </is>
      </c>
    </row>
    <row r="29">
      <c r="B29" s="37" t="inlineStr">
        <is>
          <t>Créer un portefeuille en bourse - moyen-terme</t>
        </is>
      </c>
      <c r="C29" s="38" t="inlineStr">
        <is>
          <t>À faire</t>
        </is>
      </c>
    </row>
    <row r="30">
      <c r="B30" s="35" t="inlineStr">
        <is>
          <t>Créer un portefeuille en bourse - court-terme</t>
        </is>
      </c>
      <c r="C30" s="36" t="inlineStr">
        <is>
          <t>À faire</t>
        </is>
      </c>
    </row>
    <row r="31">
      <c r="B31" s="37" t="inlineStr">
        <is>
          <t>Avoir 10% d'investissement immédiatement liquide de mon patrimoine net</t>
        </is>
      </c>
      <c r="C31" s="38" t="inlineStr">
        <is>
          <t>À faire</t>
        </is>
      </c>
    </row>
    <row r="32">
      <c r="B32" s="35" t="inlineStr">
        <is>
          <t>Créer un portefeuille en cryptomonnaies</t>
        </is>
      </c>
      <c r="C32" s="36" t="inlineStr">
        <is>
          <t>À faire</t>
        </is>
      </c>
    </row>
    <row r="33">
      <c r="B33" s="37" t="inlineStr">
        <is>
          <t>Investir dans un deal de Private Equity</t>
        </is>
      </c>
      <c r="C33" s="38" t="inlineStr">
        <is>
          <t>Fait</t>
        </is>
      </c>
    </row>
    <row r="34">
      <c r="B34" s="35" t="inlineStr">
        <is>
          <t>Investir dans un placement alternatif</t>
        </is>
      </c>
      <c r="C34" s="36" t="inlineStr">
        <is>
          <t>À faire</t>
        </is>
      </c>
    </row>
    <row r="35">
      <c r="B35" s="37" t="inlineStr">
        <is>
          <t>Détenir 100 000 € de patrimoine net</t>
        </is>
      </c>
      <c r="C35" s="38" t="inlineStr">
        <is>
          <t>À faire</t>
        </is>
      </c>
    </row>
    <row r="36">
      <c r="B36" s="35" t="inlineStr">
        <is>
          <t>Détenir 500 000 € de patrimoine net</t>
        </is>
      </c>
      <c r="C36" s="36" t="inlineStr">
        <is>
          <t>À faire</t>
        </is>
      </c>
    </row>
    <row r="37">
      <c r="B37" s="37" t="inlineStr">
        <is>
          <t>Détenir 1 000 000 € de patrimoine net (Objectif FIRE)</t>
        </is>
      </c>
      <c r="C37" s="38" t="inlineStr">
        <is>
          <t>À faire</t>
        </is>
      </c>
    </row>
    <row r="38">
      <c r="B38" s="35" t="inlineStr">
        <is>
          <t>Détenir 5 000 000 € de patrimoine net</t>
        </is>
      </c>
      <c r="C38" s="36" t="inlineStr">
        <is>
          <t>À faire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37E68"/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s="39" t="inlineStr">
        <is>
          <t>À NE PAS TOUCHER !</t>
        </is>
      </c>
    </row>
    <row r="5">
      <c r="B5" s="4" t="inlineStr">
        <is>
          <t>Graphiques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37E68"/>
    <outlinePr summaryBelow="1" summaryRight="1"/>
    <pageSetUpPr/>
  </sheetPr>
  <dimension ref="B2:V62"/>
  <sheetViews>
    <sheetView workbookViewId="0">
      <selection activeCell="A1" sqref="A1"/>
    </sheetView>
  </sheetViews>
  <sheetFormatPr baseColWidth="8" defaultRowHeight="15"/>
  <sheetData>
    <row r="2">
      <c r="B2" s="39" t="inlineStr">
        <is>
          <t>À NE PAS TOUCHER !</t>
        </is>
      </c>
    </row>
    <row r="4">
      <c r="C4" s="40" t="inlineStr">
        <is>
          <t>Revenus</t>
        </is>
      </c>
    </row>
    <row r="5">
      <c r="C5" t="inlineStr">
        <is>
          <t>Autre</t>
        </is>
      </c>
      <c r="D5">
        <f>'Compte de résultats'!E24+'Compte de résultats'!E34</f>
        <v/>
      </c>
    </row>
    <row r="6">
      <c r="C6" t="inlineStr">
        <is>
          <t>Crowdfunding</t>
        </is>
      </c>
      <c r="D6">
        <f>'Compte de résultats'!E33</f>
        <v/>
      </c>
    </row>
    <row r="7">
      <c r="C7" t="inlineStr">
        <is>
          <t>Private Equity</t>
        </is>
      </c>
      <c r="D7">
        <f>'Compte de résultats'!E32</f>
        <v/>
      </c>
    </row>
    <row r="8">
      <c r="C8" t="inlineStr">
        <is>
          <t>Bourse</t>
        </is>
      </c>
      <c r="D8">
        <f>SUM('Compte de résultats'!E30:E31)</f>
        <v/>
      </c>
    </row>
    <row r="9">
      <c r="C9" t="inlineStr">
        <is>
          <t>Immobilier</t>
        </is>
      </c>
      <c r="D9">
        <f>SUM('Compte de résultats'!E28:E29)</f>
        <v/>
      </c>
    </row>
    <row r="10">
      <c r="C10" t="inlineStr">
        <is>
          <t>Travail</t>
        </is>
      </c>
      <c r="D10">
        <f>SUM('Compte de résultats'!E18:E23)</f>
        <v/>
      </c>
    </row>
    <row r="12">
      <c r="E12" s="40" t="inlineStr">
        <is>
          <t>Dépenses</t>
        </is>
      </c>
    </row>
    <row r="13">
      <c r="E13" t="inlineStr">
        <is>
          <t>Autre</t>
        </is>
      </c>
      <c r="F13">
        <f>'Compte de résultats'!E122-F18-F17-F16-F15-F14</f>
        <v/>
      </c>
    </row>
    <row r="14">
      <c r="E14" t="inlineStr">
        <is>
          <t>Plaisir</t>
        </is>
      </c>
      <c r="F14">
        <f>SUM('Compte de résultats'!E98:E106)+'Compte de résultats'!E111+'Compte de résultats'!E112+'Compte de résultats'!E113+'Compte de résultats'!E116</f>
        <v/>
      </c>
    </row>
    <row r="15">
      <c r="E15" t="inlineStr">
        <is>
          <t>Voiture</t>
        </is>
      </c>
      <c r="F15">
        <f>SUM('Compte de résultats'!E91:E93)</f>
        <v/>
      </c>
    </row>
    <row r="16">
      <c r="E16" t="inlineStr">
        <is>
          <t>Alimentation</t>
        </is>
      </c>
      <c r="F16">
        <f>'Compte de résultats'!E56</f>
        <v/>
      </c>
    </row>
    <row r="17">
      <c r="E17" t="inlineStr">
        <is>
          <t>Invest. locatif</t>
        </is>
      </c>
      <c r="F17">
        <f>SUM('Compte de résultats'!E76:E86)</f>
        <v/>
      </c>
    </row>
    <row r="18">
      <c r="E18" t="inlineStr">
        <is>
          <t>Rési. princip.</t>
        </is>
      </c>
      <c r="F18">
        <f>SUM('Compte de résultats'!E59:E65)+SUM('Compte de résultats'!E73:E75)</f>
        <v/>
      </c>
    </row>
    <row r="20">
      <c r="G20" s="40" t="inlineStr">
        <is>
          <t>Épargne VS Dépenses</t>
        </is>
      </c>
    </row>
    <row r="21">
      <c r="G21" t="inlineStr">
        <is>
          <t>Épargne</t>
        </is>
      </c>
      <c r="H21" t="inlineStr">
        <is>
          <t>Dépenses</t>
        </is>
      </c>
    </row>
    <row r="22">
      <c r="G22">
        <f>'Compte de résultats'!E49</f>
        <v/>
      </c>
      <c r="H22">
        <f>'Compte de résultats'!E122</f>
        <v/>
      </c>
    </row>
    <row r="24">
      <c r="I24" s="40" t="inlineStr">
        <is>
          <t>Dépenses par catégorie</t>
        </is>
      </c>
    </row>
    <row r="25">
      <c r="I25" t="inlineStr">
        <is>
          <t>Autre</t>
        </is>
      </c>
      <c r="J25">
        <f>F13/SUM($F$13:$F$18)</f>
        <v/>
      </c>
    </row>
    <row r="26">
      <c r="I26" t="inlineStr">
        <is>
          <t>Plaisir</t>
        </is>
      </c>
      <c r="J26">
        <f>F14/SUM($F$13:$F$18)</f>
        <v/>
      </c>
    </row>
    <row r="27">
      <c r="I27" t="inlineStr">
        <is>
          <t>Voiture</t>
        </is>
      </c>
      <c r="J27">
        <f>F15/SUM($F$13:$F$18)</f>
        <v/>
      </c>
    </row>
    <row r="28">
      <c r="I28" t="inlineStr">
        <is>
          <t>Alimentation</t>
        </is>
      </c>
      <c r="J28">
        <f>F16/SUM($F$13:$F$18)</f>
        <v/>
      </c>
    </row>
    <row r="29">
      <c r="I29" t="inlineStr">
        <is>
          <t>Invest. locatif</t>
        </is>
      </c>
      <c r="J29">
        <f>F17/SUM($F$13:$F$18)</f>
        <v/>
      </c>
    </row>
    <row r="30">
      <c r="I30" t="inlineStr">
        <is>
          <t>Rési. princip.</t>
        </is>
      </c>
      <c r="J30">
        <f>F18/SUM($F$13:$F$18)</f>
        <v/>
      </c>
    </row>
    <row r="32">
      <c r="K32" s="40" t="inlineStr">
        <is>
          <t>Taux d'épargne</t>
        </is>
      </c>
    </row>
    <row r="33">
      <c r="K33" t="inlineStr">
        <is>
          <t>Épargne</t>
        </is>
      </c>
      <c r="L33" t="inlineStr">
        <is>
          <t>Objectif</t>
        </is>
      </c>
    </row>
    <row r="34">
      <c r="K34">
        <f>'Compte de résultats'!H46</f>
        <v/>
      </c>
    </row>
    <row r="36">
      <c r="M36" s="40" t="inlineStr">
        <is>
          <t>Patrimoine</t>
        </is>
      </c>
    </row>
    <row r="37">
      <c r="M37" t="inlineStr">
        <is>
          <t>Brut</t>
        </is>
      </c>
      <c r="N37" t="inlineStr">
        <is>
          <t>Net</t>
        </is>
      </c>
    </row>
    <row r="38">
      <c r="M38">
        <f>Bilan!E103</f>
        <v/>
      </c>
      <c r="N38">
        <f>Bilan!E11</f>
        <v/>
      </c>
    </row>
    <row r="42">
      <c r="O42" s="40" t="inlineStr">
        <is>
          <t>Objectif revenus</t>
        </is>
      </c>
    </row>
    <row r="43">
      <c r="O43" t="inlineStr">
        <is>
          <t>Actuel</t>
        </is>
      </c>
      <c r="P43" t="inlineStr">
        <is>
          <t>Objectif</t>
        </is>
      </c>
    </row>
    <row r="44">
      <c r="O44">
        <f>'Compte de résultats'!E39</f>
        <v/>
      </c>
      <c r="P44">
        <f>'Compte de résultats'!F39</f>
        <v/>
      </c>
    </row>
    <row r="48">
      <c r="Q48" s="40" t="inlineStr">
        <is>
          <t>Objectif patrimoine net</t>
        </is>
      </c>
    </row>
    <row r="49">
      <c r="Q49" t="inlineStr">
        <is>
          <t>Actuel</t>
        </is>
      </c>
      <c r="R49" t="inlineStr">
        <is>
          <t>Objectif</t>
        </is>
      </c>
    </row>
    <row r="50">
      <c r="Q50">
        <f>Bilan!E11</f>
        <v/>
      </c>
      <c r="R50">
        <f>Bilan!F11</f>
        <v/>
      </c>
    </row>
    <row r="54">
      <c r="S54" s="40" t="inlineStr">
        <is>
          <t>Objectif revenus reste</t>
        </is>
      </c>
    </row>
    <row r="55">
      <c r="S55" t="inlineStr">
        <is>
          <t>Actuel</t>
        </is>
      </c>
      <c r="T55" t="inlineStr">
        <is>
          <t>Objectif</t>
        </is>
      </c>
    </row>
    <row r="56">
      <c r="S56">
        <f>O44</f>
        <v/>
      </c>
      <c r="T56">
        <f>P44-O44</f>
        <v/>
      </c>
    </row>
    <row r="60">
      <c r="U60" s="40" t="inlineStr">
        <is>
          <t>Objectif patrimoine reste</t>
        </is>
      </c>
    </row>
    <row r="61">
      <c r="U61" t="inlineStr">
        <is>
          <t>Actuel</t>
        </is>
      </c>
      <c r="V61" t="inlineStr">
        <is>
          <t>Objectif</t>
        </is>
      </c>
    </row>
    <row r="62">
      <c r="U62">
        <f>Q50</f>
        <v/>
      </c>
      <c r="V62">
        <f>R50-Q50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2026-04-08T16:00:54Z</dcterms:created>
  <dcterms:modified xmlns:dcterms="http://purl.org/dc/terms/" xmlns:xsi="http://www.w3.org/2001/XMLSchema-instance" xsi:type="dcterms:W3CDTF">2026-04-08T16:08:56Z</dcterms:modified>
</cp:coreProperties>
</file>